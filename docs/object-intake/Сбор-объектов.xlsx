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упить сейчас" sheetId="2" state="visible" r:id="rId2"/>
    <sheet xmlns:r="http://schemas.openxmlformats.org/officeDocument/2006/relationships" name="Аукцион" sheetId="3" state="visible" r:id="rId3"/>
    <sheet xmlns:r="http://schemas.openxmlformats.org/officeDocument/2006/relationships" name="Доли" sheetId="4" state="visible" r:id="rId4"/>
    <sheet xmlns:r="http://schemas.openxmlformats.org/officeDocument/2006/relationships" name="Долги" sheetId="5" state="visible" r:id="rId5"/>
    <sheet xmlns:r="http://schemas.openxmlformats.org/officeDocument/2006/relationships" name="Девелопмент" sheetId="6" state="visible" r:id="rId6"/>
    <sheet xmlns:r="http://schemas.openxmlformats.org/officeDocument/2006/relationships" name="Списки" sheetId="7" state="hidden" r:id="rId7"/>
  </sheets>
  <definedNames>
    <definedName name="Types">Списки!$A$2:$A$7</definedName>
    <definedName name="Currencies">Списки!$B$2:$B$7</definedName>
    <definedName name="Materials">Списки!$C$2:$C$10</definedName>
    <definedName name="Construction">Списки!$D$2:$D$5</definedName>
    <definedName name="Commercial">Списки!$E$2:$E$5</definedName>
    <definedName name="Purpose">Списки!$F$2:$F$6</definedName>
    <definedName name="YesNo">Списки!$G$2:$G$3</definedName>
    <definedName name="DebtFormats">Списки!$H$2:$H$3</definedName>
    <definedName name="Goals">Списки!$I$2:$I$8</definedName>
    <definedName name="_xlnm._FilterDatabase" localSheetId="0" hidden="1">'Сводка'!$A$4:$E$9</definedName>
    <definedName name="_xlnm.Print_Titles" localSheetId="0">'Сводка'!$1:$4</definedName>
    <definedName name="_xlnm._FilterDatabase" localSheetId="1" hidden="1">'Купить сейчас'!$A$2:$AO$82</definedName>
    <definedName name="_xlnm._FilterDatabase" localSheetId="2" hidden="1">'Аукцион'!$A$2:$AO$82</definedName>
    <definedName name="_xlnm._FilterDatabase" localSheetId="3" hidden="1">'Доли'!$A$2:$AK$82</definedName>
    <definedName name="_xlnm._FilterDatabase" localSheetId="4" hidden="1">'Долги'!$A$2:$AQ$82</definedName>
    <definedName name="_xlnm._FilterDatabase" localSheetId="5" hidden="1">'Девелопмент'!$A$2:$AV$82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C2830"/>
      <sz val="11"/>
    </font>
    <font>
      <name val="Calibri"/>
      <b val="1"/>
      <color rgb="0012383C"/>
      <sz val="20"/>
    </font>
    <font>
      <name val="Calibri"/>
      <color rgb="005C6B73"/>
      <sz val="12"/>
    </font>
    <font>
      <name val="Calibri"/>
      <b val="1"/>
      <color rgb="00FFFFFF"/>
      <sz val="11"/>
    </font>
    <font>
      <name val="Calibri"/>
      <b val="1"/>
      <color rgb="001C2830"/>
      <sz val="12"/>
    </font>
    <font>
      <name val="Calibri"/>
      <color rgb="001C2830"/>
      <sz val="12"/>
    </font>
    <font>
      <name val="Calibri"/>
      <b val="1"/>
      <color rgb="0012383C"/>
      <sz val="14"/>
    </font>
  </fonts>
  <fills count="15">
    <fill>
      <patternFill/>
    </fill>
    <fill>
      <patternFill patternType="gray125"/>
    </fill>
    <fill>
      <patternFill patternType="solid">
        <fgColor rgb="003D4F55"/>
      </patternFill>
    </fill>
    <fill>
      <patternFill patternType="solid">
        <fgColor rgb="0012383C"/>
      </patternFill>
    </fill>
    <fill>
      <patternFill patternType="solid">
        <fgColor rgb="000099A9"/>
      </patternFill>
    </fill>
    <fill>
      <patternFill patternType="solid">
        <fgColor rgb="001E4D8C"/>
      </patternFill>
    </fill>
    <fill>
      <patternFill patternType="solid">
        <fgColor rgb="005B3F8C"/>
      </patternFill>
    </fill>
    <fill>
      <patternFill patternType="solid">
        <fgColor rgb="001F6B4A"/>
      </patternFill>
    </fill>
    <fill>
      <patternFill patternType="solid">
        <fgColor rgb="009A6B2F"/>
      </patternFill>
    </fill>
    <fill>
      <patternFill patternType="solid">
        <fgColor rgb="008E2F2F"/>
      </patternFill>
    </fill>
    <fill>
      <patternFill patternType="solid">
        <fgColor rgb="008A5A16"/>
      </patternFill>
    </fill>
    <fill>
      <patternFill patternType="solid">
        <fgColor rgb="00146C43"/>
      </patternFill>
    </fill>
    <fill>
      <patternFill patternType="solid">
        <fgColor rgb="00FFFFFF"/>
      </patternFill>
    </fill>
    <fill>
      <patternFill patternType="solid">
        <fgColor rgb="00F3F6F7"/>
      </patternFill>
    </fill>
    <fill>
      <patternFill patternType="solid">
        <fgColor rgb="00F7FAFB"/>
      </patternFill>
    </fill>
  </fills>
  <borders count="2">
    <border>
      <left/>
      <right/>
      <top/>
      <bottom/>
      <diagonal/>
    </border>
    <border>
      <left style="thin">
        <color rgb="00D5DEE2"/>
      </left>
      <right style="thin">
        <color rgb="00D5DEE2"/>
      </right>
      <top style="thin">
        <color rgb="00D5DEE2"/>
      </top>
      <bottom style="thin">
        <color rgb="00D5DEE2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1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1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indent="1"/>
    </xf>
    <xf numFmtId="4" fontId="2" fillId="12" borderId="1" applyAlignment="1" pivotButton="0" quotePrefix="0" xfId="0">
      <alignment horizontal="left" vertical="center" indent="1"/>
    </xf>
    <xf numFmtId="1" fontId="2" fillId="12" borderId="1" applyAlignment="1" pivotButton="0" quotePrefix="0" xfId="0">
      <alignment horizontal="left" vertical="center" indent="1"/>
    </xf>
    <xf numFmtId="3" fontId="2" fillId="12" borderId="1" applyAlignment="1" pivotButton="0" quotePrefix="0" xfId="0">
      <alignment horizontal="left" vertical="center" indent="1"/>
    </xf>
    <xf numFmtId="164" fontId="2" fillId="12" borderId="1" applyAlignment="1" pivotButton="0" quotePrefix="0" xfId="0">
      <alignment horizontal="left" vertical="center" indent="1"/>
    </xf>
    <xf numFmtId="0" fontId="2" fillId="13" borderId="1" applyAlignment="1" pivotButton="0" quotePrefix="0" xfId="0">
      <alignment horizontal="left" vertical="center" indent="1"/>
    </xf>
    <xf numFmtId="0" fontId="2" fillId="14" borderId="1" applyAlignment="1" pivotButton="0" quotePrefix="0" xfId="0">
      <alignment horizontal="left" vertical="center" indent="1"/>
    </xf>
    <xf numFmtId="4" fontId="2" fillId="14" borderId="1" applyAlignment="1" pivotButton="0" quotePrefix="0" xfId="0">
      <alignment horizontal="left" vertical="center" indent="1"/>
    </xf>
    <xf numFmtId="1" fontId="2" fillId="14" borderId="1" applyAlignment="1" pivotButton="0" quotePrefix="0" xfId="0">
      <alignment horizontal="left" vertical="center" indent="1"/>
    </xf>
    <xf numFmtId="3" fontId="2" fillId="14" borderId="1" applyAlignment="1" pivotButton="0" quotePrefix="0" xfId="0">
      <alignment horizontal="left" vertical="center" indent="1"/>
    </xf>
    <xf numFmtId="164" fontId="2" fillId="14" borderId="1" applyAlignment="1" pivotButton="0" quotePrefix="0" xfId="0">
      <alignment horizontal="left" vertical="center" indent="1"/>
    </xf>
    <xf numFmtId="4" fontId="2" fillId="13" borderId="1" applyAlignment="1" pivotButton="0" quotePrefix="0" xfId="0">
      <alignment horizontal="left" vertical="center" indent="1"/>
    </xf>
    <xf numFmtId="2" fontId="2" fillId="12" borderId="1" applyAlignment="1" pivotButton="0" quotePrefix="0" xfId="0">
      <alignment horizontal="left" vertical="center" indent="1"/>
    </xf>
    <xf numFmtId="3" fontId="2" fillId="13" borderId="1" applyAlignment="1" pivotButton="0" quotePrefix="0" xfId="0">
      <alignment horizontal="left" vertical="center" indent="1"/>
    </xf>
    <xf numFmtId="2" fontId="2" fillId="14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Calibri"/>
        <b val="1"/>
        <color rgb="00146C43"/>
        <sz val="11"/>
      </font>
      <fill>
        <patternFill patternType="solid">
          <fgColor rgb="00E5F6F1"/>
        </patternFill>
      </fill>
    </dxf>
    <dxf>
      <font>
        <name val="Calibri"/>
        <b val="1"/>
        <color rgb="008A5A16"/>
        <sz val="11"/>
      </font>
      <fill>
        <patternFill patternType="solid">
          <fgColor rgb="00FFF6E8"/>
        </patternFill>
      </fill>
    </dxf>
    <dxf>
      <font>
        <name val="Calibri"/>
        <color rgb="008E2F2F"/>
        <sz val="11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SellYourBrick</author>
  </authors>
  <commentList>
    <comment ref="A2" authorId="0" shapeId="0">
      <text>
        <t>Откуда объект: имя, агент или ссылка. На публикацию не влияет.</t>
      </text>
    </comment>
    <comment ref="B2" authorId="0" shapeId="0">
      <text>
        <t>Обязательно. До 80 символов: тип, локация и главное преимущество.</t>
      </text>
    </comment>
    <comment ref="C2" authorId="0" shapeId="0">
      <text>
        <t>Обязательно. От типа зависят обязательные параметры, как в форме добавления.</t>
      </text>
    </comment>
    <comment ref="D2" authorId="0" shapeId="0">
      <text>
        <t>Обязательно.</t>
      </text>
    </comment>
    <comment ref="E2" authorId="0" shapeId="0">
      <text>
        <t>Обязательно.</t>
      </text>
    </comment>
    <comment ref="F2" authorId="0" shapeId="0">
      <text>
        <t>Обязательно. Улица, проспект или район.</t>
      </text>
    </comment>
    <comment ref="G2" authorId="0" shapeId="0">
      <text>
        <t>Необязательно.</t>
      </text>
    </comment>
    <comment ref="H2" authorId="0" shapeId="0">
      <text>
        <t>Необязательно. Например: 77:01:0004012:3456</t>
      </text>
    </comment>
    <comment ref="I2" authorId="0" shapeId="0">
      <text>
        <t>Обязательно. В форме по умолчанию EUR.</t>
      </text>
    </comment>
    <comment ref="J2" authorId="0" shapeId="0">
      <text>
        <t>Квартира и апартаменты — общая площадь. Дом и вилла — площадь дома. Коммерция — площадь помещения. Для земли не нужна.</t>
      </text>
    </comment>
    <comment ref="K2" authorId="0" shapeId="0">
      <text>
        <t>Обязательно для квартиры и апартаментов.</t>
      </text>
    </comment>
    <comment ref="L2" authorId="0" shapeId="0">
      <text>
        <t>Обязательно для дома, виллы и земли.</t>
      </text>
    </comment>
    <comment ref="M2" authorId="0" shapeId="0">
      <text>
        <t>Обязательно для квартиры и апартаментов.</t>
      </text>
    </comment>
    <comment ref="N2" authorId="0" shapeId="0">
      <text>
        <t>Обязательно для дома и виллы. В форме это поле комнат для дома.</t>
      </text>
    </comment>
    <comment ref="O2" authorId="0" shapeId="0">
      <text>
        <t>Обязательно для квартиры, апартаментов, дома и виллы.</t>
      </text>
    </comment>
    <comment ref="P2" authorId="0" shapeId="0">
      <text>
        <t>Обязательно для квартиры и апартаментов. Не больше этажности дома.</t>
      </text>
    </comment>
    <comment ref="Q2" authorId="0" shapeId="0">
      <text>
        <t>Квартира: этажность дома. Дом и вилла: количество этажей.</t>
      </text>
    </comment>
    <comment ref="R2" authorId="0" shapeId="0">
      <text>
        <t>Обязательно для квартиры, апартаментов, дома и виллы. Не больше текущего года.</t>
      </text>
    </comment>
    <comment ref="S2" authorId="0" shapeId="0">
      <text>
        <t>Обязательно для квартиры, апартаментов, дома и виллы.</t>
      </text>
    </comment>
    <comment ref="T2" authorId="0" shapeId="0">
      <text>
        <t>Необязательно.</t>
      </text>
    </comment>
    <comment ref="U2" authorId="0" shapeId="0">
      <text>
        <t>Обязательно для коммерческой недвижимости.</t>
      </text>
    </comment>
    <comment ref="V2" authorId="0" shapeId="0">
      <text>
        <t>Обязательно для земли.</t>
      </text>
    </comment>
    <comment ref="W2" authorId="0" shapeId="0">
      <text>
        <t>Обязательно для «Купить сейчас». Минимальная цена не выше 90% от этой суммы, стартовая ставка не выше 30%.</t>
      </text>
    </comment>
    <comment ref="X2" authorId="0" shapeId="0">
      <text>
        <t>Обязательно. Объект не продаётся ниже этой суммы. При цене «Продать сейчас» — не выше 90% от неё.</t>
      </text>
    </comment>
    <comment ref="Y2" authorId="0" shapeId="0">
      <text>
        <t>Обязательно. Если указана цена «Продать сейчас», ставка не выше 30% от неё.</t>
      </text>
    </comment>
    <comment ref="Z2" authorId="0" shapeId="0">
      <text>
        <t>Обязательно.</t>
      </text>
    </comment>
    <comment ref="AA2" authorId="0" shapeId="0">
      <text>
        <t>Обязательно. Минимум через 3 месяца и 15 дней после начала.</t>
      </text>
    </comment>
    <comment ref="AB2" authorId="0" shapeId="0">
      <text>
        <t>Необязательно. Если «Да», нужна стоимость суток.</t>
      </text>
    </comment>
    <comment ref="AC2" authorId="0" shapeId="0">
      <text>
        <t>Обязательно, только если тест-драйв включён.</t>
      </text>
    </comment>
    <comment ref="AD2" authorId="0" shapeId="0">
      <text>
        <t>Необязательно. Возвращается после осмотра, если нет повреждений.</t>
      </text>
    </comment>
    <comment ref="AE2" authorId="0" shapeId="0">
      <text>
        <t>Для публикации нужно минимум 1 фото. Желательно от 5, максимум 10. JPG или PNG до 10 МБ.</t>
      </text>
    </comment>
    <comment ref="AF2" authorId="0" shapeId="0">
      <text>
        <t>Папка или ссылки на файлы. Пустая ссылка не блокирует публикацию.</t>
      </text>
    </comment>
    <comment ref="AG2" authorId="0" shapeId="0">
      <text>
        <t>Необязательно. YouTube, Google Drive или файл короче 1 минуты.</t>
      </text>
    </comment>
    <comment ref="AH2" authorId="0" shapeId="0">
      <text>
        <t>Для публикации не обязательно, но без описания карточку хуже понимают. До 2000 символов.</t>
      </text>
    </comment>
    <comment ref="AI2" authorId="0" shapeId="0">
      <text>
        <t>Необязательно. Через запятую: парковка, охрана, бассейн.</t>
      </text>
    </comment>
    <comment ref="AJ2" authorId="0" shapeId="0">
      <text>
        <t>Обязательно, кроме формата «Долги». PDF или фото.</t>
      </text>
    </comment>
    <comment ref="AK2" authorId="0" shapeId="0">
      <text>
        <t>Обязательная справка: нет арестов, залогов и других ограничений. Для долгов не требуется.</t>
      </text>
    </comment>
    <comment ref="AL2" authorId="0" shapeId="0">
      <text>
        <t>Необязательно. Ссылка на остальные файлы.</t>
      </text>
    </comment>
    <comment ref="AM2" authorId="0" shapeId="0">
      <text>
        <t>Пусто — обязательные поля этого варианта собраны. Текст — чего ещё нет или что нарушает правила формы.</t>
      </text>
    </comment>
    <comment ref="AN2" authorId="0" shapeId="0">
      <text>
        <t>Не блокирует публикацию: описание, 5 фото, видео, кадастр и пакет, который форма только рекомендует.</t>
      </text>
    </comment>
    <comment ref="AO2" authorId="0" shapeId="0">
      <text>
        <t>«Можно публиковать» появляется, когда колонка «Не хватает для публикации» пустая.</t>
      </text>
    </comment>
  </commentList>
</comments>
</file>

<file path=xl/comments/comment2.xml><?xml version="1.0" encoding="utf-8"?>
<comments xmlns="http://schemas.openxmlformats.org/spreadsheetml/2006/main">
  <authors>
    <author>SellYourBrick</author>
  </authors>
  <commentList>
    <comment ref="A2" authorId="0" shapeId="0">
      <text>
        <t>Откуда объект: имя, агент или ссылка. На публикацию не влияет.</t>
      </text>
    </comment>
    <comment ref="B2" authorId="0" shapeId="0">
      <text>
        <t>Обязательно. До 80 символов: тип, локация и главное преимущество.</t>
      </text>
    </comment>
    <comment ref="C2" authorId="0" shapeId="0">
      <text>
        <t>Обязательно. От типа зависят обязательные параметры, как в форме добавления.</t>
      </text>
    </comment>
    <comment ref="D2" authorId="0" shapeId="0">
      <text>
        <t>Обязательно.</t>
      </text>
    </comment>
    <comment ref="E2" authorId="0" shapeId="0">
      <text>
        <t>Обязательно.</t>
      </text>
    </comment>
    <comment ref="F2" authorId="0" shapeId="0">
      <text>
        <t>Обязательно. Улица, проспект или район.</t>
      </text>
    </comment>
    <comment ref="G2" authorId="0" shapeId="0">
      <text>
        <t>Необязательно.</t>
      </text>
    </comment>
    <comment ref="H2" authorId="0" shapeId="0">
      <text>
        <t>Необязательно. Например: 77:01:0004012:3456</t>
      </text>
    </comment>
    <comment ref="I2" authorId="0" shapeId="0">
      <text>
        <t>Обязательно. В форме по умолчанию EUR.</t>
      </text>
    </comment>
    <comment ref="J2" authorId="0" shapeId="0">
      <text>
        <t>Квартира и апартаменты — общая площадь. Дом и вилла — площадь дома. Коммерция — площадь помещения. Для земли не нужна.</t>
      </text>
    </comment>
    <comment ref="K2" authorId="0" shapeId="0">
      <text>
        <t>Обязательно для квартиры и апартаментов.</t>
      </text>
    </comment>
    <comment ref="L2" authorId="0" shapeId="0">
      <text>
        <t>Обязательно для дома, виллы и земли.</t>
      </text>
    </comment>
    <comment ref="M2" authorId="0" shapeId="0">
      <text>
        <t>Обязательно для квартиры и апартаментов.</t>
      </text>
    </comment>
    <comment ref="N2" authorId="0" shapeId="0">
      <text>
        <t>Обязательно для дома и виллы. В форме это поле комнат для дома.</t>
      </text>
    </comment>
    <comment ref="O2" authorId="0" shapeId="0">
      <text>
        <t>Обязательно для квартиры, апартаментов, дома и виллы.</t>
      </text>
    </comment>
    <comment ref="P2" authorId="0" shapeId="0">
      <text>
        <t>Обязательно для квартиры и апартаментов. Не больше этажности дома.</t>
      </text>
    </comment>
    <comment ref="Q2" authorId="0" shapeId="0">
      <text>
        <t>Квартира: этажность дома. Дом и вилла: количество этажей.</t>
      </text>
    </comment>
    <comment ref="R2" authorId="0" shapeId="0">
      <text>
        <t>Обязательно для квартиры, апартаментов, дома и виллы. Не больше текущего года.</t>
      </text>
    </comment>
    <comment ref="S2" authorId="0" shapeId="0">
      <text>
        <t>Обязательно для квартиры, апартаментов, дома и виллы.</t>
      </text>
    </comment>
    <comment ref="T2" authorId="0" shapeId="0">
      <text>
        <t>Необязательно.</t>
      </text>
    </comment>
    <comment ref="U2" authorId="0" shapeId="0">
      <text>
        <t>Обязательно для коммерческой недвижимости.</t>
      </text>
    </comment>
    <comment ref="V2" authorId="0" shapeId="0">
      <text>
        <t>Обязательно для земли.</t>
      </text>
    </comment>
    <comment ref="W2" authorId="0" shapeId="0">
      <text>
        <t>Необязательно для чистого аукциона. Если заполнить, минимальная цена не выше 90%, стартовая ставка не выше 30%.</t>
      </text>
    </comment>
    <comment ref="X2" authorId="0" shapeId="0">
      <text>
        <t>Обязательно. Объект не продаётся ниже этой суммы. При цене «Продать сейчас» — не выше 90% от неё.</t>
      </text>
    </comment>
    <comment ref="Y2" authorId="0" shapeId="0">
      <text>
        <t>Обязательно. Если указана цена «Продать сейчас», ставка не выше 30% от неё.</t>
      </text>
    </comment>
    <comment ref="Z2" authorId="0" shapeId="0">
      <text>
        <t>Обязательно.</t>
      </text>
    </comment>
    <comment ref="AA2" authorId="0" shapeId="0">
      <text>
        <t>Обязательно. Минимум через 3 месяца и 15 дней после начала.</t>
      </text>
    </comment>
    <comment ref="AB2" authorId="0" shapeId="0">
      <text>
        <t>Необязательно. Если «Да», нужна стоимость суток.</t>
      </text>
    </comment>
    <comment ref="AC2" authorId="0" shapeId="0">
      <text>
        <t>Обязательно, только если тест-драйв включён.</t>
      </text>
    </comment>
    <comment ref="AD2" authorId="0" shapeId="0">
      <text>
        <t>Необязательно. Возвращается после осмотра, если нет повреждений.</t>
      </text>
    </comment>
    <comment ref="AE2" authorId="0" shapeId="0">
      <text>
        <t>Для публикации нужно минимум 1 фото. Желательно от 5, максимум 10. JPG или PNG до 10 МБ.</t>
      </text>
    </comment>
    <comment ref="AF2" authorId="0" shapeId="0">
      <text>
        <t>Папка или ссылки на файлы. Пустая ссылка не блокирует публикацию.</t>
      </text>
    </comment>
    <comment ref="AG2" authorId="0" shapeId="0">
      <text>
        <t>Необязательно. YouTube, Google Drive или файл короче 1 минуты.</t>
      </text>
    </comment>
    <comment ref="AH2" authorId="0" shapeId="0">
      <text>
        <t>Для публикации не обязательно, но без описания карточку хуже понимают. До 2000 символов.</t>
      </text>
    </comment>
    <comment ref="AI2" authorId="0" shapeId="0">
      <text>
        <t>Необязательно. Через запятую: парковка, охрана, бассейн.</t>
      </text>
    </comment>
    <comment ref="AJ2" authorId="0" shapeId="0">
      <text>
        <t>Обязательно, кроме формата «Долги». PDF или фото.</t>
      </text>
    </comment>
    <comment ref="AK2" authorId="0" shapeId="0">
      <text>
        <t>Обязательная справка: нет арестов, залогов и других ограничений. Для долгов не требуется.</t>
      </text>
    </comment>
    <comment ref="AL2" authorId="0" shapeId="0">
      <text>
        <t>Необязательно. Ссылка на остальные файлы.</t>
      </text>
    </comment>
    <comment ref="AM2" authorId="0" shapeId="0">
      <text>
        <t>Пусто — обязательные поля этого варианта собраны. Текст — чего ещё нет или что нарушает правила формы.</t>
      </text>
    </comment>
    <comment ref="AN2" authorId="0" shapeId="0">
      <text>
        <t>Не блокирует публикацию: описание, 5 фото, видео, кадастр и пакет, который форма только рекомендует.</t>
      </text>
    </comment>
    <comment ref="AO2" authorId="0" shapeId="0">
      <text>
        <t>«Можно публиковать» появляется, когда колонка «Не хватает для публикации» пустая.</t>
      </text>
    </comment>
  </commentList>
</comments>
</file>

<file path=xl/comments/comment3.xml><?xml version="1.0" encoding="utf-8"?>
<comments xmlns="http://schemas.openxmlformats.org/spreadsheetml/2006/main">
  <authors>
    <author>SellYourBrick</author>
  </authors>
  <commentList>
    <comment ref="A2" authorId="0" shapeId="0">
      <text>
        <t>Откуда объект: имя, агент или ссылка. На публикацию не влияет.</t>
      </text>
    </comment>
    <comment ref="B2" authorId="0" shapeId="0">
      <text>
        <t>Обязательно. До 80 символов: тип, локация и главное преимущество.</t>
      </text>
    </comment>
    <comment ref="C2" authorId="0" shapeId="0">
      <text>
        <t>Обязательно. От типа зависят обязательные параметры, как в форме добавления.</t>
      </text>
    </comment>
    <comment ref="D2" authorId="0" shapeId="0">
      <text>
        <t>Обязательно.</t>
      </text>
    </comment>
    <comment ref="E2" authorId="0" shapeId="0">
      <text>
        <t>Обязательно.</t>
      </text>
    </comment>
    <comment ref="F2" authorId="0" shapeId="0">
      <text>
        <t>Обязательно. Улица, проспект или район.</t>
      </text>
    </comment>
    <comment ref="G2" authorId="0" shapeId="0">
      <text>
        <t>Необязательно.</t>
      </text>
    </comment>
    <comment ref="H2" authorId="0" shapeId="0">
      <text>
        <t>Необязательно. Например: 77:01:0004012:3456</t>
      </text>
    </comment>
    <comment ref="I2" authorId="0" shapeId="0">
      <text>
        <t>Обязательно. В форме по умолчанию EUR.</t>
      </text>
    </comment>
    <comment ref="J2" authorId="0" shapeId="0">
      <text>
        <t>Квартира и апартаменты — общая площадь. Дом и вилла — площадь дома. Коммерция — площадь помещения. Для земли не нужна.</t>
      </text>
    </comment>
    <comment ref="K2" authorId="0" shapeId="0">
      <text>
        <t>Обязательно для квартиры и апартаментов.</t>
      </text>
    </comment>
    <comment ref="L2" authorId="0" shapeId="0">
      <text>
        <t>Обязательно для дома, виллы и земли.</t>
      </text>
    </comment>
    <comment ref="M2" authorId="0" shapeId="0">
      <text>
        <t>Обязательно для квартиры и апартаментов.</t>
      </text>
    </comment>
    <comment ref="N2" authorId="0" shapeId="0">
      <text>
        <t>Обязательно для дома и виллы. В форме это поле комнат для дома.</t>
      </text>
    </comment>
    <comment ref="O2" authorId="0" shapeId="0">
      <text>
        <t>Обязательно для квартиры, апартаментов, дома и виллы.</t>
      </text>
    </comment>
    <comment ref="P2" authorId="0" shapeId="0">
      <text>
        <t>Обязательно для квартиры и апартаментов. Не больше этажности дома.</t>
      </text>
    </comment>
    <comment ref="Q2" authorId="0" shapeId="0">
      <text>
        <t>Квартира: этажность дома. Дом и вилла: количество этажей.</t>
      </text>
    </comment>
    <comment ref="R2" authorId="0" shapeId="0">
      <text>
        <t>Обязательно для квартиры, апартаментов, дома и виллы. Не больше текущего года.</t>
      </text>
    </comment>
    <comment ref="S2" authorId="0" shapeId="0">
      <text>
        <t>Обязательно для квартиры, апартаментов, дома и виллы.</t>
      </text>
    </comment>
    <comment ref="T2" authorId="0" shapeId="0">
      <text>
        <t>Необязательно.</t>
      </text>
    </comment>
    <comment ref="U2" authorId="0" shapeId="0">
      <text>
        <t>Обязательно для коммерческой недвижимости.</t>
      </text>
    </comment>
    <comment ref="V2" authorId="0" shapeId="0">
      <text>
        <t>Обязательно для земли.</t>
      </text>
    </comment>
    <comment ref="W2" authorId="0" shapeId="0">
      <text>
        <t>Обязательно. Это цена всего объекта.</t>
      </text>
    </comment>
    <comment ref="X2" authorId="0" shapeId="0">
      <text>
        <t>Обязательно. Целое число больше 0.</t>
      </text>
    </comment>
    <comment ref="Y2" authorId="0" shapeId="0">
      <text>
        <t>Считается сама: общая стоимость / количество долей.</t>
      </text>
    </comment>
    <comment ref="Z2" authorId="0" shapeId="0">
      <text>
        <t>Если «Да», объект можно выкупить на 100% по общей стоимости, пока не продана ни одна доля.</t>
      </text>
    </comment>
    <comment ref="AA2" authorId="0" shapeId="0">
      <text>
        <t>Для публикации нужно минимум 1 фото. Желательно от 5, максимум 10. JPG или PNG до 10 МБ.</t>
      </text>
    </comment>
    <comment ref="AB2" authorId="0" shapeId="0">
      <text>
        <t>Папка или ссылки на файлы. Пустая ссылка не блокирует публикацию.</t>
      </text>
    </comment>
    <comment ref="AC2" authorId="0" shapeId="0">
      <text>
        <t>Необязательно. YouTube, Google Drive или файл короче 1 минуты.</t>
      </text>
    </comment>
    <comment ref="AD2" authorId="0" shapeId="0">
      <text>
        <t>Для публикации не обязательно, но без описания карточку хуже понимают. До 2000 символов.</t>
      </text>
    </comment>
    <comment ref="AE2" authorId="0" shapeId="0">
      <text>
        <t>Необязательно. Через запятую: парковка, охрана, бассейн.</t>
      </text>
    </comment>
    <comment ref="AF2" authorId="0" shapeId="0">
      <text>
        <t>Обязательно, кроме формата «Долги». PDF или фото.</t>
      </text>
    </comment>
    <comment ref="AG2" authorId="0" shapeId="0">
      <text>
        <t>Обязательная справка: нет арестов, залогов и других ограничений. Для долгов не требуется.</t>
      </text>
    </comment>
    <comment ref="AH2" authorId="0" shapeId="0">
      <text>
        <t>Необязательно. Ссылка на остальные файлы.</t>
      </text>
    </comment>
    <comment ref="AI2" authorId="0" shapeId="0">
      <text>
        <t>Пусто — обязательные поля этого варианта собраны. Текст — чего ещё нет или что нарушает правила формы.</t>
      </text>
    </comment>
    <comment ref="AJ2" authorId="0" shapeId="0">
      <text>
        <t>Не блокирует публикацию: описание, 5 фото, видео, кадастр и пакет, который форма только рекомендует.</t>
      </text>
    </comment>
    <comment ref="AK2" authorId="0" shapeId="0">
      <text>
        <t>«Можно публиковать» появляется, когда колонка «Не хватает для публикации» пустая.</t>
      </text>
    </comment>
  </commentList>
</comments>
</file>

<file path=xl/comments/comment4.xml><?xml version="1.0" encoding="utf-8"?>
<comments xmlns="http://schemas.openxmlformats.org/spreadsheetml/2006/main">
  <authors>
    <author>SellYourBrick</author>
  </authors>
  <commentList>
    <comment ref="A2" authorId="0" shapeId="0">
      <text>
        <t>Откуда объект: имя, агент или ссылка. На публикацию не влияет.</t>
      </text>
    </comment>
    <comment ref="B2" authorId="0" shapeId="0">
      <text>
        <t>Обязательно. До 80 символов: тип, локация и главное преимущество.</t>
      </text>
    </comment>
    <comment ref="C2" authorId="0" shapeId="0">
      <text>
        <t>Обязательно. От типа зависят обязательные параметры, как в форме добавления.</t>
      </text>
    </comment>
    <comment ref="D2" authorId="0" shapeId="0">
      <text>
        <t>Обязательно.</t>
      </text>
    </comment>
    <comment ref="E2" authorId="0" shapeId="0">
      <text>
        <t>Обязательно.</t>
      </text>
    </comment>
    <comment ref="F2" authorId="0" shapeId="0">
      <text>
        <t>Обязательно. Улица, проспект или район.</t>
      </text>
    </comment>
    <comment ref="G2" authorId="0" shapeId="0">
      <text>
        <t>Необязательно.</t>
      </text>
    </comment>
    <comment ref="H2" authorId="0" shapeId="0">
      <text>
        <t>Необязательно. Например: 77:01:0004012:3456</t>
      </text>
    </comment>
    <comment ref="I2" authorId="0" shapeId="0">
      <text>
        <t>Обязательно. В форме по умолчанию EUR.</t>
      </text>
    </comment>
    <comment ref="J2" authorId="0" shapeId="0">
      <text>
        <t>Квартира и апартаменты — общая площадь. Дом и вилла — площадь дома. Коммерция — площадь помещения. Для земли не нужна.</t>
      </text>
    </comment>
    <comment ref="K2" authorId="0" shapeId="0">
      <text>
        <t>Обязательно для квартиры и апартаментов.</t>
      </text>
    </comment>
    <comment ref="L2" authorId="0" shapeId="0">
      <text>
        <t>Обязательно для дома, виллы и земли.</t>
      </text>
    </comment>
    <comment ref="M2" authorId="0" shapeId="0">
      <text>
        <t>Обязательно для квартиры и апартаментов.</t>
      </text>
    </comment>
    <comment ref="N2" authorId="0" shapeId="0">
      <text>
        <t>Обязательно для дома и виллы. В форме это поле комнат для дома.</t>
      </text>
    </comment>
    <comment ref="O2" authorId="0" shapeId="0">
      <text>
        <t>Обязательно для квартиры, апартаментов, дома и виллы.</t>
      </text>
    </comment>
    <comment ref="P2" authorId="0" shapeId="0">
      <text>
        <t>Обязательно для квартиры и апартаментов. Не больше этажности дома.</t>
      </text>
    </comment>
    <comment ref="Q2" authorId="0" shapeId="0">
      <text>
        <t>Квартира: этажность дома. Дом и вилла: количество этажей.</t>
      </text>
    </comment>
    <comment ref="R2" authorId="0" shapeId="0">
      <text>
        <t>Обязательно для квартиры, апартаментов, дома и виллы. Не больше текущего года.</t>
      </text>
    </comment>
    <comment ref="S2" authorId="0" shapeId="0">
      <text>
        <t>Обязательно для квартиры, апартаментов, дома и виллы.</t>
      </text>
    </comment>
    <comment ref="T2" authorId="0" shapeId="0">
      <text>
        <t>Необязательно.</t>
      </text>
    </comment>
    <comment ref="U2" authorId="0" shapeId="0">
      <text>
        <t>Обязательно для коммерческой недвижимости.</t>
      </text>
    </comment>
    <comment ref="V2" authorId="0" shapeId="0">
      <text>
        <t>Обязательно для земли.</t>
      </text>
    </comment>
    <comment ref="W2" authorId="0" shapeId="0">
      <text>
        <t>Обязательно: «Долги» или «Долги + Аукцион».</t>
      </text>
    </comment>
    <comment ref="X2" authorId="0" shapeId="0">
      <text>
        <t>Обязательно, больше 0.</t>
      </text>
    </comment>
    <comment ref="Y2" authorId="0" shapeId="0">
      <text>
        <t>Обязательно только для «Долги + Аукцион».</t>
      </text>
    </comment>
    <comment ref="Z2" authorId="0" shapeId="0">
      <text>
        <t>Обязательно только для «Долги + Аукцион». Не выше 90% от «Продать сейчас».</t>
      </text>
    </comment>
    <comment ref="AA2" authorId="0" shapeId="0">
      <text>
        <t>Обязательно только для «Долги + Аукцион». Не выше 30% от «Продать сейчас».</t>
      </text>
    </comment>
    <comment ref="AB2" authorId="0" shapeId="0">
      <text>
        <t>Обязательно только для «Долги + Аукцион».</t>
      </text>
    </comment>
    <comment ref="AC2" authorId="0" shapeId="0">
      <text>
        <t>Обязательно только для «Долги + Аукцион». Минимум 3 месяца и 15 дней.</t>
      </text>
    </comment>
    <comment ref="AD2" authorId="0" shapeId="0">
      <text>
        <t>Форма рекомендует, но без него публикация не блокируется.</t>
      </text>
    </comment>
    <comment ref="AE2" authorId="0" shapeId="0">
      <text>
        <t>Нотариальная закладная. Рекомендуется.</t>
      </text>
    </comment>
    <comment ref="AF2" authorId="0" shapeId="0">
      <text>
        <t>Выписка из реестра. Рекомендуется.</t>
      </text>
    </comment>
    <comment ref="AG2" authorId="0" shapeId="0">
      <text>
        <t>Оценка объекта. Рекомендуется.</t>
      </text>
    </comment>
    <comment ref="AH2" authorId="0" shapeId="0">
      <text>
        <t>Рекомендуется описать судебный статус.</t>
      </text>
    </comment>
    <comment ref="AI2" authorId="0" shapeId="0">
      <text>
        <t>Для публикации нужно минимум 1 фото. Желательно от 5, максимум 10. JPG или PNG до 10 МБ.</t>
      </text>
    </comment>
    <comment ref="AJ2" authorId="0" shapeId="0">
      <text>
        <t>Папка или ссылки на файлы. Пустая ссылка не блокирует публикацию.</t>
      </text>
    </comment>
    <comment ref="AK2" authorId="0" shapeId="0">
      <text>
        <t>Необязательно. YouTube, Google Drive или файл короче 1 минуты.</t>
      </text>
    </comment>
    <comment ref="AL2" authorId="0" shapeId="0">
      <text>
        <t>Для публикации не обязательно, но без описания карточку хуже понимают. До 2000 символов.</t>
      </text>
    </comment>
    <comment ref="AM2" authorId="0" shapeId="0">
      <text>
        <t>Необязательно. Через запятую: парковка, охрана, бассейн.</t>
      </text>
    </comment>
    <comment ref="AN2" authorId="0" shapeId="0">
      <text>
        <t>Папка с файлами пакета.</t>
      </text>
    </comment>
    <comment ref="AO2" authorId="0" shapeId="0">
      <text>
        <t>Пусто — обязательные поля этого варианта собраны. Текст — чего ещё нет или что нарушает правила формы.</t>
      </text>
    </comment>
    <comment ref="AP2" authorId="0" shapeId="0">
      <text>
        <t>Не блокирует публикацию: описание, 5 фото, видео, кадастр и пакет, который форма только рекомендует.</t>
      </text>
    </comment>
    <comment ref="AQ2" authorId="0" shapeId="0">
      <text>
        <t>«Можно публиковать» появляется, когда колонка «Не хватает для публикации» пустая.</t>
      </text>
    </comment>
  </commentList>
</comments>
</file>

<file path=xl/comments/comment5.xml><?xml version="1.0" encoding="utf-8"?>
<comments xmlns="http://schemas.openxmlformats.org/spreadsheetml/2006/main">
  <authors>
    <author>SellYourBrick</author>
  </authors>
  <commentList>
    <comment ref="A2" authorId="0" shapeId="0">
      <text>
        <t>Откуда объект: имя, агент или ссылка. На публикацию не влияет.</t>
      </text>
    </comment>
    <comment ref="B2" authorId="0" shapeId="0">
      <text>
        <t>Обязательно. До 80 символов: тип, локация и главное преимущество.</t>
      </text>
    </comment>
    <comment ref="C2" authorId="0" shapeId="0">
      <text>
        <t>Обязательно. От типа зависят обязательные параметры, как в форме добавления.</t>
      </text>
    </comment>
    <comment ref="D2" authorId="0" shapeId="0">
      <text>
        <t>Обязательно.</t>
      </text>
    </comment>
    <comment ref="E2" authorId="0" shapeId="0">
      <text>
        <t>Обязательно.</t>
      </text>
    </comment>
    <comment ref="F2" authorId="0" shapeId="0">
      <text>
        <t>Обязательно. Улица, проспект или район.</t>
      </text>
    </comment>
    <comment ref="G2" authorId="0" shapeId="0">
      <text>
        <t>Необязательно.</t>
      </text>
    </comment>
    <comment ref="H2" authorId="0" shapeId="0">
      <text>
        <t>Необязательно. Например: 77:01:0004012:3456</t>
      </text>
    </comment>
    <comment ref="I2" authorId="0" shapeId="0">
      <text>
        <t>Обязательно. В форме по умолчанию EUR.</t>
      </text>
    </comment>
    <comment ref="J2" authorId="0" shapeId="0">
      <text>
        <t>Квартира и апартаменты — общая площадь. Дом и вилла — площадь дома. Коммерция — площадь помещения. Для земли не нужна.</t>
      </text>
    </comment>
    <comment ref="K2" authorId="0" shapeId="0">
      <text>
        <t>Обязательно для квартиры и апартаментов.</t>
      </text>
    </comment>
    <comment ref="L2" authorId="0" shapeId="0">
      <text>
        <t>Обязательно для дома, виллы и земли.</t>
      </text>
    </comment>
    <comment ref="M2" authorId="0" shapeId="0">
      <text>
        <t>Обязательно для квартиры и апартаментов.</t>
      </text>
    </comment>
    <comment ref="N2" authorId="0" shapeId="0">
      <text>
        <t>Обязательно для дома и виллы. В форме это поле комнат для дома.</t>
      </text>
    </comment>
    <comment ref="O2" authorId="0" shapeId="0">
      <text>
        <t>Обязательно для квартиры, апартаментов, дома и виллы.</t>
      </text>
    </comment>
    <comment ref="P2" authorId="0" shapeId="0">
      <text>
        <t>Обязательно для квартиры и апартаментов. Не больше этажности дома.</t>
      </text>
    </comment>
    <comment ref="Q2" authorId="0" shapeId="0">
      <text>
        <t>Квартира: этажность дома. Дом и вилла: количество этажей.</t>
      </text>
    </comment>
    <comment ref="R2" authorId="0" shapeId="0">
      <text>
        <t>Обязательно для квартиры, апартаментов, дома и виллы. Не больше текущего года.</t>
      </text>
    </comment>
    <comment ref="S2" authorId="0" shapeId="0">
      <text>
        <t>Обязательно для квартиры, апартаментов, дома и виллы.</t>
      </text>
    </comment>
    <comment ref="T2" authorId="0" shapeId="0">
      <text>
        <t>Необязательно.</t>
      </text>
    </comment>
    <comment ref="U2" authorId="0" shapeId="0">
      <text>
        <t>Обязательно для коммерческой недвижимости.</t>
      </text>
    </comment>
    <comment ref="V2" authorId="0" shapeId="0">
      <text>
        <t>Обязательно для земли.</t>
      </text>
    </comment>
    <comment ref="W2" authorId="0" shapeId="0">
      <text>
        <t>Не блокирует публикацию. Для девелопмента в форме по умолчанию «Партнёр по развитию».</t>
      </text>
    </comment>
    <comment ref="X2" authorId="0" shapeId="0">
      <text>
        <t>Обязательно, больше 0. Это площадь участка в экономике проекта, не путать с параметром объекта.</t>
      </text>
    </comment>
    <comment ref="Y2" authorId="0" shapeId="0">
      <text>
        <t>Обязательно, больше 0.</t>
      </text>
    </comment>
    <comment ref="Z2" authorId="0" shapeId="0">
      <text>
        <t>Обязательно, можно 0. Входит в бюджет.</t>
      </text>
    </comment>
    <comment ref="AA2" authorId="0" shapeId="0">
      <text>
        <t>Обязательно, можно 0. Входит в бюджет.</t>
      </text>
    </comment>
    <comment ref="AB2" authorId="0" shapeId="0">
      <text>
        <t>Налоги, расходы и резерв. Обязательно, можно 0.</t>
      </text>
    </comment>
    <comment ref="AC2" authorId="0" shapeId="0">
      <text>
        <t>Обязательно, можно 0. От неё считается прибыль.</t>
      </text>
    </comment>
    <comment ref="AD2" authorId="0" shapeId="0">
      <text>
        <t>Обязательно и больше 0. Не может быть больше бюджета: участок + строительство + налоги и резерв.</t>
      </text>
    </comment>
    <comment ref="AE2" authorId="0" shapeId="0">
      <text>
        <t>Обязательно, от 1 до 600.</t>
      </text>
    </comment>
    <comment ref="AF2" authorId="0" shapeId="0">
      <text>
        <t>Приоритетная доходность инвестора, годовых. От 0 до 100.</t>
      </text>
    </comment>
    <comment ref="AG2" authorId="0" shapeId="0">
      <text>
        <t>Доля SellYourBrick в остатке прибыли, не комиссия с цены. От 0 до 100.</t>
      </text>
    </comment>
    <comment ref="AH2" authorId="0" shapeId="0">
      <text>
        <t>Стоимость участка + строительство + налоги и резерв.</t>
      </text>
    </comment>
    <comment ref="AI2" authorId="0" shapeId="0">
      <text>
        <t>Ожидаемая продажа минус бюджет.</t>
      </text>
    </comment>
    <comment ref="AJ2" authorId="0" shapeId="0">
      <text>
        <t>Необязательно. Лицензия и подтверждающие документы.</t>
      </text>
    </comment>
    <comment ref="AK2" authorId="0" shapeId="0">
      <text>
        <t>Необязательно. Допущения и источники прогноза.</t>
      </text>
    </comment>
    <comment ref="AL2" authorId="0" shapeId="0">
      <text>
        <t>Для публикации нужно минимум 1 фото. Желательно от 5, максимум 10. JPG или PNG до 10 МБ.</t>
      </text>
    </comment>
    <comment ref="AM2" authorId="0" shapeId="0">
      <text>
        <t>Папка или ссылки на файлы. Пустая ссылка не блокирует публикацию.</t>
      </text>
    </comment>
    <comment ref="AN2" authorId="0" shapeId="0">
      <text>
        <t>Необязательно. YouTube, Google Drive или файл короче 1 минуты.</t>
      </text>
    </comment>
    <comment ref="AO2" authorId="0" shapeId="0">
      <text>
        <t>Для публикации не обязательно, но без описания карточку хуже понимают. До 2000 символов.</t>
      </text>
    </comment>
    <comment ref="AP2" authorId="0" shapeId="0">
      <text>
        <t>Необязательно. Через запятую: парковка, охрана, бассейн.</t>
      </text>
    </comment>
    <comment ref="AQ2" authorId="0" shapeId="0">
      <text>
        <t>Обязательно, кроме формата «Долги». PDF или фото.</t>
      </text>
    </comment>
    <comment ref="AR2" authorId="0" shapeId="0">
      <text>
        <t>Обязательная справка: нет арестов, залогов и других ограничений. Для долгов не требуется.</t>
      </text>
    </comment>
    <comment ref="AS2" authorId="0" shapeId="0">
      <text>
        <t>Необязательно. Ссылка на остальные файлы.</t>
      </text>
    </comment>
    <comment ref="AT2" authorId="0" shapeId="0">
      <text>
        <t>Пусто — обязательные поля этого варианта собраны. Текст — чего ещё нет или что нарушает правила формы.</t>
      </text>
    </comment>
    <comment ref="AU2" authorId="0" shapeId="0">
      <text>
        <t>Не блокирует публикацию: описание, 5 фото, видео, кадастр и пакет, который форма только рекомендует.</t>
      </text>
    </comment>
    <comment ref="AV2" authorId="0" shapeId="0">
      <text>
        <t>«Можно публиковать» появляется, когда колонка «Не хватает для публикации» пустая.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11827"/>
    <outlinePr summaryBelow="1" summaryRight="1"/>
    <pageSetUpPr fitToPage="1"/>
  </sheetPr>
  <dimension ref="A1:E20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88" customWidth="1" min="5" max="5"/>
  </cols>
  <sheetData>
    <row r="1" ht="36" customHeight="1">
      <c r="A1" s="1" t="inlineStr">
        <is>
          <t>Сбор объектов по вариантам покупки</t>
        </is>
      </c>
    </row>
    <row r="2" ht="22" customHeight="1">
      <c r="A2" s="2" t="inlineStr">
        <is>
          <t>Одна строка — один объект. Справа на листе видно, чего не хватает для публикации в форме добавления.</t>
        </is>
      </c>
    </row>
    <row r="4" ht="24" customHeight="1">
      <c r="A4" s="3" t="inlineStr">
        <is>
          <t>Вариант</t>
        </is>
      </c>
      <c r="B4" s="3" t="inlineStr">
        <is>
          <t>В таблице</t>
        </is>
      </c>
      <c r="C4" s="3" t="inlineStr">
        <is>
          <t>Можно публиковать</t>
        </is>
      </c>
      <c r="D4" s="3" t="inlineStr">
        <is>
          <t>Не хватает</t>
        </is>
      </c>
      <c r="E4" s="3" t="inlineStr">
        <is>
          <t>Что проверяет лист</t>
        </is>
      </c>
    </row>
    <row r="5" ht="32" customHeight="1">
      <c r="A5" s="4" t="inlineStr">
        <is>
          <t>Купить сейчас</t>
        </is>
      </c>
      <c r="B5" s="5">
        <f>COUNTIF('Купить сейчас'!AO3:AO82,"&lt;&gt;")</f>
        <v/>
      </c>
      <c r="C5" s="5">
        <f>COUNTIF('Купить сейчас'!AO3:AO82,"Можно публиковать")</f>
        <v/>
      </c>
      <c r="D5" s="5">
        <f>COUNTIF('Купить сейчас'!AO3:AO82,"Не хватает")</f>
        <v/>
      </c>
      <c r="E5" s="6" t="inlineStr">
        <is>
          <t>Формат «Аукцион + Продать сейчас»: фиксированная цена, минимальная цена, стартовая ставка, даты и документы.</t>
        </is>
      </c>
    </row>
    <row r="6" ht="32" customHeight="1">
      <c r="A6" s="7" t="inlineStr">
        <is>
          <t>Аукцион</t>
        </is>
      </c>
      <c r="B6" s="8">
        <f>COUNTIF('Аукцион'!AO3:AO82,"&lt;&gt;")</f>
        <v/>
      </c>
      <c r="C6" s="8">
        <f>COUNTIF('Аукцион'!AO3:AO82,"Можно публиковать")</f>
        <v/>
      </c>
      <c r="D6" s="8">
        <f>COUNTIF('Аукцион'!AO3:AO82,"Не хватает")</f>
        <v/>
      </c>
      <c r="E6" s="9" t="inlineStr">
        <is>
          <t>Торги без обязательной цены «Продать сейчас». Минимальная цена, ставка и срок аукциона обязательны.</t>
        </is>
      </c>
    </row>
    <row r="7" ht="32" customHeight="1">
      <c r="A7" s="4" t="inlineStr">
        <is>
          <t>Доли</t>
        </is>
      </c>
      <c r="B7" s="5">
        <f>COUNTIF('Доли'!AK3:AK82,"&lt;&gt;")</f>
        <v/>
      </c>
      <c r="C7" s="5">
        <f>COUNTIF('Доли'!AK3:AK82,"Можно публиковать")</f>
        <v/>
      </c>
      <c r="D7" s="5">
        <f>COUNTIF('Доли'!AK3:AK82,"Не хватает")</f>
        <v/>
      </c>
      <c r="E7" s="6" t="inlineStr">
        <is>
          <t>Общая стоимость и число долей. Цена одной доли считается сама. Тест-драйва в этом формате нет.</t>
        </is>
      </c>
    </row>
    <row r="8" ht="32" customHeight="1">
      <c r="A8" s="7" t="inlineStr">
        <is>
          <t>Долги</t>
        </is>
      </c>
      <c r="B8" s="8">
        <f>COUNTIF('Долги'!AQ3:AQ82,"&lt;&gt;")</f>
        <v/>
      </c>
      <c r="C8" s="8">
        <f>COUNTIF('Долги'!AQ3:AQ82,"Можно публиковать")</f>
        <v/>
      </c>
      <c r="D8" s="8">
        <f>COUNTIF('Долги'!AQ3:AQ82,"Не хватает")</f>
        <v/>
      </c>
      <c r="E8" s="9" t="inlineStr">
        <is>
          <t>Сумма долга. Аукционные поля включаются только если формат — «Долги + Аукцион». Пакет долга желателен, но не блокирует.</t>
        </is>
      </c>
    </row>
    <row r="9" ht="32" customHeight="1">
      <c r="A9" s="4" t="inlineStr">
        <is>
          <t>Девелопмент</t>
        </is>
      </c>
      <c r="B9" s="5">
        <f>COUNTIF('Девелопмент'!AV3:AV82,"&lt;&gt;")</f>
        <v/>
      </c>
      <c r="C9" s="5">
        <f>COUNTIF('Девелопмент'!AV3:AV82,"Можно публиковать")</f>
        <v/>
      </c>
      <c r="D9" s="5">
        <f>COUNTIF('Девелопмент'!AV3:AV82,"Не хватает")</f>
        <v/>
      </c>
      <c r="E9" s="6" t="inlineStr">
        <is>
          <t>Адрес и параметры объекта плюс экономика проекта. Бюджет и прибыль считаются сами.</t>
        </is>
      </c>
    </row>
    <row r="11">
      <c r="A11" s="10" t="inlineStr">
        <is>
          <t>Как читать таблицу</t>
        </is>
      </c>
    </row>
    <row r="12" ht="22" customHeight="1">
      <c r="A12" s="11" t="inlineStr">
        <is>
          <t>Поля совпадают с мастером добавления объекта. Обязательность параметров зависит от типа недвижимости.</t>
        </is>
      </c>
    </row>
    <row r="13" ht="22" customHeight="1">
      <c r="A13" s="11" t="inlineStr">
        <is>
          <t>Квартира и апартаменты: площадь, жилая площадь, комнаты, ванные, этаж, этажность, год и материал.</t>
        </is>
      </c>
    </row>
    <row r="14" ht="22" customHeight="1">
      <c r="A14" s="11" t="inlineStr">
        <is>
          <t>Дом и вилла: участок, площадь дома, спальни, ванные, этажность, год и материал.</t>
        </is>
      </c>
    </row>
    <row r="15" ht="22" customHeight="1">
      <c r="A15" s="11" t="inlineStr">
        <is>
          <t>Коммерция: площадь и тип. Земля: участок и назначение.</t>
        </is>
      </c>
    </row>
    <row r="16" ht="22" customHeight="1">
      <c r="A16" s="11" t="inlineStr">
        <is>
          <t>Для всех вариантов, кроме долгов, нужны документ о праве собственности и справка об отсутствии обременений. Фото — минимум одно.</t>
        </is>
      </c>
    </row>
    <row r="17" ht="22" customHeight="1">
      <c r="A17" s="11" t="inlineStr">
        <is>
          <t>«Продать сейчас»: минимальная цена не выше самой цены и не выше 90% от неё. Стартовая ставка не выше 30%. Аукцион длится минимум 3 месяца и 15 дней.</t>
        </is>
      </c>
    </row>
    <row r="18" ht="22" customHeight="1">
      <c r="A18" s="11" t="inlineStr">
        <is>
          <t>«Желательно добрать» не мешает публикации: это описание, кадастр, видео, меньше пяти фото и рекомендованный пакет долга.</t>
        </is>
      </c>
    </row>
    <row r="19" ht="36" customHeight="1">
      <c r="A19" s="11" t="inlineStr">
        <is>
          <t>Формулы протянуты на 80 строк. Если объектов больше, потяните последнюю заполненную строку вниз.</t>
        </is>
      </c>
    </row>
    <row r="20" ht="22" customHeight="1">
      <c r="A20" s="11" t="inlineStr">
        <is>
          <t>Комментарий к заголовку колонки объясняет, когда поле обязательно. Лист «Списки» скрыт и питает выпадающие списки.</t>
        </is>
      </c>
    </row>
  </sheetData>
  <autoFilter ref="A4:E9"/>
  <mergeCells count="12">
    <mergeCell ref="A12:E12"/>
    <mergeCell ref="A20:E20"/>
    <mergeCell ref="A2:E2"/>
    <mergeCell ref="A16:E16"/>
    <mergeCell ref="A15:E15"/>
    <mergeCell ref="A19:E19"/>
    <mergeCell ref="A11:E11"/>
    <mergeCell ref="A1:E1"/>
    <mergeCell ref="A13:E13"/>
    <mergeCell ref="A14:E14"/>
    <mergeCell ref="A17:E17"/>
    <mergeCell ref="A18:E18"/>
  </mergeCells>
  <pageMargins left="0.75" right="0.75" top="1" bottom="1" header="0.5" footer="0.5"/>
  <pageSetup orientation="landscape" paperSize="9" fitToHeight="1" fitToWidth="1"/>
  <headerFooter>
    <oddHeader>&amp;LSellYourBrick — сбор объектов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B3F8C"/>
    <outlinePr summaryBelow="1" summaryRight="1"/>
    <pageSetUpPr fitToPage="1"/>
  </sheetPr>
  <dimension ref="A1:AO82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6" customWidth="1" min="4" max="4"/>
    <col width="16" customWidth="1" min="5" max="5"/>
    <col width="26" customWidth="1" min="6" max="6"/>
    <col width="14" customWidth="1" min="7" max="7"/>
    <col width="22" customWidth="1" min="8" max="8"/>
    <col width="12" customWidth="1" min="9" max="9"/>
    <col width="14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0" customWidth="1" min="18" max="18"/>
    <col width="16" customWidth="1" min="19" max="19"/>
    <col width="16" customWidth="1" min="20" max="20"/>
    <col width="18" customWidth="1" min="21" max="21"/>
    <col width="22" customWidth="1" min="22" max="22"/>
    <col width="16" customWidth="1" min="23" max="23"/>
    <col width="18" customWidth="1" min="24" max="24"/>
    <col width="16" customWidth="1" min="25" max="25"/>
    <col width="16" customWidth="1" min="26" max="26"/>
    <col width="18" customWidth="1" min="27" max="27"/>
    <col width="14" customWidth="1" min="28" max="28"/>
    <col width="18" customWidth="1" min="29" max="29"/>
    <col width="18" customWidth="1" min="30" max="30"/>
    <col width="12" customWidth="1" min="31" max="31"/>
    <col width="28" customWidth="1" min="32" max="32"/>
    <col width="24" customWidth="1" min="33" max="33"/>
    <col width="36" customWidth="1" min="34" max="34"/>
    <col width="28" customWidth="1" min="35" max="35"/>
    <col width="20" customWidth="1" min="36" max="36"/>
    <col width="18" customWidth="1" min="37" max="37"/>
    <col width="22" customWidth="1" min="38" max="38"/>
    <col width="42" customWidth="1" min="39" max="39"/>
    <col width="36" customWidth="1" min="40" max="40"/>
    <col width="20" customWidth="1" min="41" max="41"/>
  </cols>
  <sheetData>
    <row r="1" ht="22" customHeight="1">
      <c r="A1" s="12" t="inlineStr">
        <is>
          <t>Сбор</t>
        </is>
      </c>
      <c r="B1" s="13" t="inlineStr">
        <is>
          <t>Объект</t>
        </is>
      </c>
      <c r="D1" s="14" t="inlineStr">
        <is>
          <t>Адрес</t>
        </is>
      </c>
      <c r="I1" s="13" t="inlineStr">
        <is>
          <t>Объект</t>
        </is>
      </c>
      <c r="J1" s="15" t="inlineStr">
        <is>
          <t>Параметры</t>
        </is>
      </c>
      <c r="W1" s="16" t="inlineStr">
        <is>
          <t>Цена</t>
        </is>
      </c>
      <c r="AB1" s="12" t="inlineStr">
        <is>
          <t>Тест-драйв</t>
        </is>
      </c>
      <c r="AE1" s="17" t="inlineStr">
        <is>
          <t>Подача</t>
        </is>
      </c>
      <c r="AJ1" s="18" t="inlineStr">
        <is>
          <t>Документы</t>
        </is>
      </c>
      <c r="AM1" s="19" t="inlineStr">
        <is>
          <t>Проверка</t>
        </is>
      </c>
    </row>
    <row r="2" ht="36" customHeight="1">
      <c r="A2" s="20" t="inlineStr">
        <is>
          <t>Источник</t>
        </is>
      </c>
      <c r="B2" s="21" t="inlineStr">
        <is>
          <t>Название</t>
        </is>
      </c>
      <c r="C2" s="21" t="inlineStr">
        <is>
          <t>Тип недвижимости</t>
        </is>
      </c>
      <c r="D2" s="22" t="inlineStr">
        <is>
          <t>Страна</t>
        </is>
      </c>
      <c r="E2" s="22" t="inlineStr">
        <is>
          <t>Город</t>
        </is>
      </c>
      <c r="F2" s="22" t="inlineStr">
        <is>
          <t>Улица</t>
        </is>
      </c>
      <c r="G2" s="22" t="inlineStr">
        <is>
          <t>Номер дома</t>
        </is>
      </c>
      <c r="H2" s="22" t="inlineStr">
        <is>
          <t>Кадастровый номер</t>
        </is>
      </c>
      <c r="I2" s="21" t="inlineStr">
        <is>
          <t>Валюта</t>
        </is>
      </c>
      <c r="J2" s="23" t="inlineStr">
        <is>
          <t>Площадь, м²</t>
        </is>
      </c>
      <c r="K2" s="23" t="inlineStr">
        <is>
          <t>Жилая, м²</t>
        </is>
      </c>
      <c r="L2" s="23" t="inlineStr">
        <is>
          <t>Участок, м²</t>
        </is>
      </c>
      <c r="M2" s="23" t="inlineStr">
        <is>
          <t>Комнаты</t>
        </is>
      </c>
      <c r="N2" s="23" t="inlineStr">
        <is>
          <t>Спальни</t>
        </is>
      </c>
      <c r="O2" s="23" t="inlineStr">
        <is>
          <t>Ванные</t>
        </is>
      </c>
      <c r="P2" s="23" t="inlineStr">
        <is>
          <t>Этаж</t>
        </is>
      </c>
      <c r="Q2" s="23" t="inlineStr">
        <is>
          <t>Этажей</t>
        </is>
      </c>
      <c r="R2" s="23" t="inlineStr">
        <is>
          <t>Год</t>
        </is>
      </c>
      <c r="S2" s="23" t="inlineStr">
        <is>
          <t>Материал</t>
        </is>
      </c>
      <c r="T2" s="23" t="inlineStr">
        <is>
          <t>Конструкция</t>
        </is>
      </c>
      <c r="U2" s="23" t="inlineStr">
        <is>
          <t>Тип коммерции</t>
        </is>
      </c>
      <c r="V2" s="23" t="inlineStr">
        <is>
          <t>Назначение земли</t>
        </is>
      </c>
      <c r="W2" s="24" t="inlineStr">
        <is>
          <t>Продать сейчас</t>
        </is>
      </c>
      <c r="X2" s="24" t="inlineStr">
        <is>
          <t>Минимальная цена</t>
        </is>
      </c>
      <c r="Y2" s="24" t="inlineStr">
        <is>
          <t>Стартовая ставка</t>
        </is>
      </c>
      <c r="Z2" s="24" t="inlineStr">
        <is>
          <t>Начало аукциона</t>
        </is>
      </c>
      <c r="AA2" s="24" t="inlineStr">
        <is>
          <t>Окончание аукциона</t>
        </is>
      </c>
      <c r="AB2" s="20" t="inlineStr">
        <is>
          <t>Тест-драйв</t>
        </is>
      </c>
      <c r="AC2" s="20" t="inlineStr">
        <is>
          <t>Сутки тест-драйва</t>
        </is>
      </c>
      <c r="AD2" s="20" t="inlineStr">
        <is>
          <t>Депозит тест-драйва</t>
        </is>
      </c>
      <c r="AE2" s="25" t="inlineStr">
        <is>
          <t>Фото, шт.</t>
        </is>
      </c>
      <c r="AF2" s="25" t="inlineStr">
        <is>
          <t>Ссылка на фото</t>
        </is>
      </c>
      <c r="AG2" s="25" t="inlineStr">
        <is>
          <t>Ссылка на видео</t>
        </is>
      </c>
      <c r="AH2" s="25" t="inlineStr">
        <is>
          <t>Описание</t>
        </is>
      </c>
      <c r="AI2" s="25" t="inlineStr">
        <is>
          <t>Удобства</t>
        </is>
      </c>
      <c r="AJ2" s="26" t="inlineStr">
        <is>
          <t>Право собственности</t>
        </is>
      </c>
      <c r="AK2" s="26" t="inlineStr">
        <is>
          <t>Нет обременений</t>
        </is>
      </c>
      <c r="AL2" s="26" t="inlineStr">
        <is>
          <t>Доп. документы</t>
        </is>
      </c>
      <c r="AM2" s="27" t="inlineStr">
        <is>
          <t>Не хватает для публикации</t>
        </is>
      </c>
      <c r="AN2" s="28" t="inlineStr">
        <is>
          <t>Желательно добрать</t>
        </is>
      </c>
      <c r="AO2" s="29" t="inlineStr">
        <is>
          <t>Готовность</t>
        </is>
      </c>
    </row>
    <row r="3" ht="22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1" t="n"/>
      <c r="K3" s="31" t="n"/>
      <c r="L3" s="31" t="n"/>
      <c r="M3" s="32" t="n"/>
      <c r="N3" s="32" t="n"/>
      <c r="O3" s="32" t="n"/>
      <c r="P3" s="32" t="n"/>
      <c r="Q3" s="32" t="n"/>
      <c r="R3" s="32" t="n"/>
      <c r="S3" s="30" t="n"/>
      <c r="T3" s="30" t="n"/>
      <c r="U3" s="30" t="n"/>
      <c r="V3" s="30" t="n"/>
      <c r="W3" s="33" t="n"/>
      <c r="X3" s="33" t="n"/>
      <c r="Y3" s="33" t="n"/>
      <c r="Z3" s="34" t="n"/>
      <c r="AA3" s="34" t="n"/>
      <c r="AB3" s="30" t="n"/>
      <c r="AC3" s="33" t="n"/>
      <c r="AD3" s="33" t="n"/>
      <c r="AE3" s="32" t="n"/>
      <c r="AF3" s="30" t="n"/>
      <c r="AG3" s="30" t="n"/>
      <c r="AH3" s="30" t="n"/>
      <c r="AI3" s="30" t="n"/>
      <c r="AJ3" s="30" t="n"/>
      <c r="AK3" s="30" t="n"/>
      <c r="AL3" s="30" t="n"/>
      <c r="AM3" s="35">
        <f>IF(NOT(COUNTA(A3:AL3)&gt;0),"",IF(TEXTJOIN(", ",TRUE,IF(B3="","Название",""),IF(C3="","Тип недвижимости",""),IF(D3="","Страна",""),IF(E3="","Город",""),IF(F3="","Улица",""),IF(I3="","Валюта",""),IF(OR(AE3="",AE3&lt;1),"Хотя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земли",""),IF(OR(W3="",W3&lt;=0),"Продать сейчас",""),IF(OR(X3="",X3&lt;=0),"Минимальная цена продажи",""),IF(OR(Y3="",Y3&lt;=0),"Стартовая ставка",""),IF(Z3="","Начало аукциона",""),IF(AA3="","Окончание аукциона",""),IF(AND(W3&lt;&gt;"",X3&lt;&gt;"",X3&gt;W3),"Минимальная цена выше «Продать сейчас»",""),IF(AND(W3&lt;&gt;"",X3&lt;&gt;"",X3&lt;=W3,X3&gt;W3*0.9),"Минимальная цена выше 90% от «Продать сейчас»",""),IF(AND(W3&lt;&gt;"",Y3&lt;&gt;"",Y3&gt;W3*0.3),"Стартовая ставка выше 30% от «Продать сейчас»",""),IF(AND(Z3&lt;&gt;"",AA3&lt;&gt;"",AA3&lt;EDATE(Z3,3)+15),"Аукцион короче 3 месяцев и 15 дней",""),IF(AND(AB3="Да",OR(AC3="",AC3&lt;=0)),"Цена тест-драйва за сутки",""),IF(OR(AJ3="",AJ3="Нет"),"Право собственности",""),IF(OR(AK3="",AK3="Нет"),"Справка об отсутствии обременений",""))="","",TEXTJOIN(", ",TRUE,IF(B3="","Название",""),IF(C3="","Тип недвижимости",""),IF(D3="","Страна",""),IF(E3="","Город",""),IF(F3="","Улица",""),IF(I3="","Валюта",""),IF(OR(AE3="",AE3&lt;1),"Хотя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земли",""),IF(OR(W3="",W3&lt;=0),"Продать сейчас",""),IF(OR(X3="",X3&lt;=0),"Минимальная цена продажи",""),IF(OR(Y3="",Y3&lt;=0),"Стартовая ставка",""),IF(Z3="","Начало аукциона",""),IF(AA3="","Окончание аукциона",""),IF(AND(W3&lt;&gt;"",X3&lt;&gt;"",X3&gt;W3),"Минимальная цена выше «Продать сейчас»",""),IF(AND(W3&lt;&gt;"",X3&lt;&gt;"",X3&lt;=W3,X3&gt;W3*0.9),"Минимальная цена выше 90% от «Продать сейчас»",""),IF(AND(W3&lt;&gt;"",Y3&lt;&gt;"",Y3&gt;W3*0.3),"Стартовая ставка выше 30% от «Продать сейчас»",""),IF(AND(Z3&lt;&gt;"",AA3&lt;&gt;"",AA3&lt;EDATE(Z3,3)+15),"Аукцион короче 3 месяцев и 15 дней",""),IF(AND(AB3="Да",OR(AC3="",AC3&lt;=0)),"Цена тест-драйва за сутки",""),IF(OR(AJ3="",AJ3="Нет"),"Право собственности",""),IF(OR(AK3="",AK3="Нет"),"Справка об отсутствии обременений",""))))</f>
        <v/>
      </c>
      <c r="AN3" s="35">
        <f>IF(NOT(COUNTA(A3:AL3)&gt;0),"",IF(TEXTJOIN(", ",TRUE,IF(AH3="","Описание",""),IF(AND(AE3&lt;&gt;"",AE3&gt;=1,AE3&lt;5),"Фото меньше 5",""),IF(AG3="","Видео",""),IF(H3="","Кадастровый номер",""),IF(AF3="","Ссылка на фото",""))="","",TEXTJOIN(", ",TRUE,IF(AH3="","Описание",""),IF(AND(AE3&lt;&gt;"",AE3&gt;=1,AE3&lt;5),"Фото меньше 5",""),IF(AG3="","Видео",""),IF(H3="","Кадастровый номер",""),IF(AF3="","Ссылка на фото",""))))</f>
        <v/>
      </c>
      <c r="AO3" s="35">
        <f>IF(NOT(COUNTA(A3:AL3)&gt;0),"",IF(AM3="","Можно публиковать","Не хватает"))</f>
        <v/>
      </c>
    </row>
    <row r="4" ht="22" customHeight="1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7" t="n"/>
      <c r="K4" s="37" t="n"/>
      <c r="L4" s="37" t="n"/>
      <c r="M4" s="38" t="n"/>
      <c r="N4" s="38" t="n"/>
      <c r="O4" s="38" t="n"/>
      <c r="P4" s="38" t="n"/>
      <c r="Q4" s="38" t="n"/>
      <c r="R4" s="38" t="n"/>
      <c r="S4" s="36" t="n"/>
      <c r="T4" s="36" t="n"/>
      <c r="U4" s="36" t="n"/>
      <c r="V4" s="36" t="n"/>
      <c r="W4" s="39" t="n"/>
      <c r="X4" s="39" t="n"/>
      <c r="Y4" s="39" t="n"/>
      <c r="Z4" s="40" t="n"/>
      <c r="AA4" s="40" t="n"/>
      <c r="AB4" s="36" t="n"/>
      <c r="AC4" s="39" t="n"/>
      <c r="AD4" s="39" t="n"/>
      <c r="AE4" s="38" t="n"/>
      <c r="AF4" s="36" t="n"/>
      <c r="AG4" s="36" t="n"/>
      <c r="AH4" s="36" t="n"/>
      <c r="AI4" s="36" t="n"/>
      <c r="AJ4" s="36" t="n"/>
      <c r="AK4" s="36" t="n"/>
      <c r="AL4" s="36" t="n"/>
      <c r="AM4" s="35">
        <f>IF(NOT(COUNTA(A4:AL4)&gt;0),"",IF(TEXTJOIN(", ",TRUE,IF(B4="","Название",""),IF(C4="","Тип недвижимости",""),IF(D4="","Страна",""),IF(E4="","Город",""),IF(F4="","Улица",""),IF(I4="","Валюта",""),IF(OR(AE4="",AE4&lt;1),"Хотя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земли",""),IF(OR(W4="",W4&lt;=0),"Продать сейчас",""),IF(OR(X4="",X4&lt;=0),"Минимальная цена продажи",""),IF(OR(Y4="",Y4&lt;=0),"Стартовая ставка",""),IF(Z4="","Начало аукциона",""),IF(AA4="","Окончание аукциона",""),IF(AND(W4&lt;&gt;"",X4&lt;&gt;"",X4&gt;W4),"Минимальная цена выше «Продать сейчас»",""),IF(AND(W4&lt;&gt;"",X4&lt;&gt;"",X4&lt;=W4,X4&gt;W4*0.9),"Минимальная цена выше 90% от «Продать сейчас»",""),IF(AND(W4&lt;&gt;"",Y4&lt;&gt;"",Y4&gt;W4*0.3),"Стартовая ставка выше 30% от «Продать сейчас»",""),IF(AND(Z4&lt;&gt;"",AA4&lt;&gt;"",AA4&lt;EDATE(Z4,3)+15),"Аукцион короче 3 месяцев и 15 дней",""),IF(AND(AB4="Да",OR(AC4="",AC4&lt;=0)),"Цена тест-драйва за сутки",""),IF(OR(AJ4="",AJ4="Нет"),"Право собственности",""),IF(OR(AK4="",AK4="Нет"),"Справка об отсутствии обременений",""))="","",TEXTJOIN(", ",TRUE,IF(B4="","Название",""),IF(C4="","Тип недвижимости",""),IF(D4="","Страна",""),IF(E4="","Город",""),IF(F4="","Улица",""),IF(I4="","Валюта",""),IF(OR(AE4="",AE4&lt;1),"Хотя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земли",""),IF(OR(W4="",W4&lt;=0),"Продать сейчас",""),IF(OR(X4="",X4&lt;=0),"Минимальная цена продажи",""),IF(OR(Y4="",Y4&lt;=0),"Стартовая ставка",""),IF(Z4="","Начало аукциона",""),IF(AA4="","Окончание аукциона",""),IF(AND(W4&lt;&gt;"",X4&lt;&gt;"",X4&gt;W4),"Минимальная цена выше «Продать сейчас»",""),IF(AND(W4&lt;&gt;"",X4&lt;&gt;"",X4&lt;=W4,X4&gt;W4*0.9),"Минимальная цена выше 90% от «Продать сейчас»",""),IF(AND(W4&lt;&gt;"",Y4&lt;&gt;"",Y4&gt;W4*0.3),"Стартовая ставка выше 30% от «Продать сейчас»",""),IF(AND(Z4&lt;&gt;"",AA4&lt;&gt;"",AA4&lt;EDATE(Z4,3)+15),"Аукцион короче 3 месяцев и 15 дней",""),IF(AND(AB4="Да",OR(AC4="",AC4&lt;=0)),"Цена тест-драйва за сутки",""),IF(OR(AJ4="",AJ4="Нет"),"Право собственности",""),IF(OR(AK4="",AK4="Нет"),"Справка об отсутствии обременений",""))))</f>
        <v/>
      </c>
      <c r="AN4" s="35">
        <f>IF(NOT(COUNTA(A4:AL4)&gt;0),"",IF(TEXTJOIN(", ",TRUE,IF(AH4="","Описание",""),IF(AND(AE4&lt;&gt;"",AE4&gt;=1,AE4&lt;5),"Фото меньше 5",""),IF(AG4="","Видео",""),IF(H4="","Кадастровый номер",""),IF(AF4="","Ссылка на фото",""))="","",TEXTJOIN(", ",TRUE,IF(AH4="","Описание",""),IF(AND(AE4&lt;&gt;"",AE4&gt;=1,AE4&lt;5),"Фото меньше 5",""),IF(AG4="","Видео",""),IF(H4="","Кадастровый номер",""),IF(AF4="","Ссылка на фото",""))))</f>
        <v/>
      </c>
      <c r="AO4" s="35">
        <f>IF(NOT(COUNTA(A4:AL4)&gt;0),"",IF(AM4="","Можно публиковать","Не хватает"))</f>
        <v/>
      </c>
    </row>
    <row r="5" ht="22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31" t="n"/>
      <c r="L5" s="31" t="n"/>
      <c r="M5" s="32" t="n"/>
      <c r="N5" s="32" t="n"/>
      <c r="O5" s="32" t="n"/>
      <c r="P5" s="32" t="n"/>
      <c r="Q5" s="32" t="n"/>
      <c r="R5" s="32" t="n"/>
      <c r="S5" s="30" t="n"/>
      <c r="T5" s="30" t="n"/>
      <c r="U5" s="30" t="n"/>
      <c r="V5" s="30" t="n"/>
      <c r="W5" s="33" t="n"/>
      <c r="X5" s="33" t="n"/>
      <c r="Y5" s="33" t="n"/>
      <c r="Z5" s="34" t="n"/>
      <c r="AA5" s="34" t="n"/>
      <c r="AB5" s="30" t="n"/>
      <c r="AC5" s="33" t="n"/>
      <c r="AD5" s="33" t="n"/>
      <c r="AE5" s="32" t="n"/>
      <c r="AF5" s="30" t="n"/>
      <c r="AG5" s="30" t="n"/>
      <c r="AH5" s="30" t="n"/>
      <c r="AI5" s="30" t="n"/>
      <c r="AJ5" s="30" t="n"/>
      <c r="AK5" s="30" t="n"/>
      <c r="AL5" s="30" t="n"/>
      <c r="AM5" s="35">
        <f>IF(NOT(COUNTA(A5:AL5)&gt;0),"",IF(TEXTJOIN(", ",TRUE,IF(B5="","Название",""),IF(C5="","Тип недвижимости",""),IF(D5="","Страна",""),IF(E5="","Город",""),IF(F5="","Улица",""),IF(I5="","Валюта",""),IF(OR(AE5="",AE5&lt;1),"Хотя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земли",""),IF(OR(W5="",W5&lt;=0),"Продать сейчас",""),IF(OR(X5="",X5&lt;=0),"Минимальная цена продажи",""),IF(OR(Y5="",Y5&lt;=0),"Стартовая ставка",""),IF(Z5="","Начало аукциона",""),IF(AA5="","Окончание аукциона",""),IF(AND(W5&lt;&gt;"",X5&lt;&gt;"",X5&gt;W5),"Минимальная цена выше «Продать сейчас»",""),IF(AND(W5&lt;&gt;"",X5&lt;&gt;"",X5&lt;=W5,X5&gt;W5*0.9),"Минимальная цена выше 90% от «Продать сейчас»",""),IF(AND(W5&lt;&gt;"",Y5&lt;&gt;"",Y5&gt;W5*0.3),"Стартовая ставка выше 30% от «Продать сейчас»",""),IF(AND(Z5&lt;&gt;"",AA5&lt;&gt;"",AA5&lt;EDATE(Z5,3)+15),"Аукцион короче 3 месяцев и 15 дней",""),IF(AND(AB5="Да",OR(AC5="",AC5&lt;=0)),"Цена тест-драйва за сутки",""),IF(OR(AJ5="",AJ5="Нет"),"Право собственности",""),IF(OR(AK5="",AK5="Нет"),"Справка об отсутствии обременений",""))="","",TEXTJOIN(", ",TRUE,IF(B5="","Название",""),IF(C5="","Тип недвижимости",""),IF(D5="","Страна",""),IF(E5="","Город",""),IF(F5="","Улица",""),IF(I5="","Валюта",""),IF(OR(AE5="",AE5&lt;1),"Хотя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земли",""),IF(OR(W5="",W5&lt;=0),"Продать сейчас",""),IF(OR(X5="",X5&lt;=0),"Минимальная цена продажи",""),IF(OR(Y5="",Y5&lt;=0),"Стартовая ставка",""),IF(Z5="","Начало аукциона",""),IF(AA5="","Окончание аукциона",""),IF(AND(W5&lt;&gt;"",X5&lt;&gt;"",X5&gt;W5),"Минимальная цена выше «Продать сейчас»",""),IF(AND(W5&lt;&gt;"",X5&lt;&gt;"",X5&lt;=W5,X5&gt;W5*0.9),"Минимальная цена выше 90% от «Продать сейчас»",""),IF(AND(W5&lt;&gt;"",Y5&lt;&gt;"",Y5&gt;W5*0.3),"Стартовая ставка выше 30% от «Продать сейчас»",""),IF(AND(Z5&lt;&gt;"",AA5&lt;&gt;"",AA5&lt;EDATE(Z5,3)+15),"Аукцион короче 3 месяцев и 15 дней",""),IF(AND(AB5="Да",OR(AC5="",AC5&lt;=0)),"Цена тест-драйва за сутки",""),IF(OR(AJ5="",AJ5="Нет"),"Право собственности",""),IF(OR(AK5="",AK5="Нет"),"Справка об отсутствии обременений",""))))</f>
        <v/>
      </c>
      <c r="AN5" s="35">
        <f>IF(NOT(COUNTA(A5:AL5)&gt;0),"",IF(TEXTJOIN(", ",TRUE,IF(AH5="","Описание",""),IF(AND(AE5&lt;&gt;"",AE5&gt;=1,AE5&lt;5),"Фото меньше 5",""),IF(AG5="","Видео",""),IF(H5="","Кадастровый номер",""),IF(AF5="","Ссылка на фото",""))="","",TEXTJOIN(", ",TRUE,IF(AH5="","Описание",""),IF(AND(AE5&lt;&gt;"",AE5&gt;=1,AE5&lt;5),"Фото меньше 5",""),IF(AG5="","Видео",""),IF(H5="","Кадастровый номер",""),IF(AF5="","Ссылка на фото",""))))</f>
        <v/>
      </c>
      <c r="AO5" s="35">
        <f>IF(NOT(COUNTA(A5:AL5)&gt;0),"",IF(AM5="","Можно публиковать","Не хватает"))</f>
        <v/>
      </c>
    </row>
    <row r="6" ht="22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7" t="n"/>
      <c r="K6" s="37" t="n"/>
      <c r="L6" s="37" t="n"/>
      <c r="M6" s="38" t="n"/>
      <c r="N6" s="38" t="n"/>
      <c r="O6" s="38" t="n"/>
      <c r="P6" s="38" t="n"/>
      <c r="Q6" s="38" t="n"/>
      <c r="R6" s="38" t="n"/>
      <c r="S6" s="36" t="n"/>
      <c r="T6" s="36" t="n"/>
      <c r="U6" s="36" t="n"/>
      <c r="V6" s="36" t="n"/>
      <c r="W6" s="39" t="n"/>
      <c r="X6" s="39" t="n"/>
      <c r="Y6" s="39" t="n"/>
      <c r="Z6" s="40" t="n"/>
      <c r="AA6" s="40" t="n"/>
      <c r="AB6" s="36" t="n"/>
      <c r="AC6" s="39" t="n"/>
      <c r="AD6" s="39" t="n"/>
      <c r="AE6" s="38" t="n"/>
      <c r="AF6" s="36" t="n"/>
      <c r="AG6" s="36" t="n"/>
      <c r="AH6" s="36" t="n"/>
      <c r="AI6" s="36" t="n"/>
      <c r="AJ6" s="36" t="n"/>
      <c r="AK6" s="36" t="n"/>
      <c r="AL6" s="36" t="n"/>
      <c r="AM6" s="35">
        <f>IF(NOT(COUNTA(A6:AL6)&gt;0),"",IF(TEXTJOIN(", ",TRUE,IF(B6="","Название",""),IF(C6="","Тип недвижимости",""),IF(D6="","Страна",""),IF(E6="","Город",""),IF(F6="","Улица",""),IF(I6="","Валюта",""),IF(OR(AE6="",AE6&lt;1),"Хотя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земли",""),IF(OR(W6="",W6&lt;=0),"Продать сейчас",""),IF(OR(X6="",X6&lt;=0),"Минимальная цена продажи",""),IF(OR(Y6="",Y6&lt;=0),"Стартовая ставка",""),IF(Z6="","Начало аукциона",""),IF(AA6="","Окончание аукциона",""),IF(AND(W6&lt;&gt;"",X6&lt;&gt;"",X6&gt;W6),"Минимальная цена выше «Продать сейчас»",""),IF(AND(W6&lt;&gt;"",X6&lt;&gt;"",X6&lt;=W6,X6&gt;W6*0.9),"Минимальная цена выше 90% от «Продать сейчас»",""),IF(AND(W6&lt;&gt;"",Y6&lt;&gt;"",Y6&gt;W6*0.3),"Стартовая ставка выше 30% от «Продать сейчас»",""),IF(AND(Z6&lt;&gt;"",AA6&lt;&gt;"",AA6&lt;EDATE(Z6,3)+15),"Аукцион короче 3 месяцев и 15 дней",""),IF(AND(AB6="Да",OR(AC6="",AC6&lt;=0)),"Цена тест-драйва за сутки",""),IF(OR(AJ6="",AJ6="Нет"),"Право собственности",""),IF(OR(AK6="",AK6="Нет"),"Справка об отсутствии обременений",""))="","",TEXTJOIN(", ",TRUE,IF(B6="","Название",""),IF(C6="","Тип недвижимости",""),IF(D6="","Страна",""),IF(E6="","Город",""),IF(F6="","Улица",""),IF(I6="","Валюта",""),IF(OR(AE6="",AE6&lt;1),"Хотя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земли",""),IF(OR(W6="",W6&lt;=0),"Продать сейчас",""),IF(OR(X6="",X6&lt;=0),"Минимальная цена продажи",""),IF(OR(Y6="",Y6&lt;=0),"Стартовая ставка",""),IF(Z6="","Начало аукциона",""),IF(AA6="","Окончание аукциона",""),IF(AND(W6&lt;&gt;"",X6&lt;&gt;"",X6&gt;W6),"Минимальная цена выше «Продать сейчас»",""),IF(AND(W6&lt;&gt;"",X6&lt;&gt;"",X6&lt;=W6,X6&gt;W6*0.9),"Минимальная цена выше 90% от «Продать сейчас»",""),IF(AND(W6&lt;&gt;"",Y6&lt;&gt;"",Y6&gt;W6*0.3),"Стартовая ставка выше 30% от «Продать сейчас»",""),IF(AND(Z6&lt;&gt;"",AA6&lt;&gt;"",AA6&lt;EDATE(Z6,3)+15),"Аукцион короче 3 месяцев и 15 дней",""),IF(AND(AB6="Да",OR(AC6="",AC6&lt;=0)),"Цена тест-драйва за сутки",""),IF(OR(AJ6="",AJ6="Нет"),"Право собственности",""),IF(OR(AK6="",AK6="Нет"),"Справка об отсутствии обременений",""))))</f>
        <v/>
      </c>
      <c r="AN6" s="35">
        <f>IF(NOT(COUNTA(A6:AL6)&gt;0),"",IF(TEXTJOIN(", ",TRUE,IF(AH6="","Описание",""),IF(AND(AE6&lt;&gt;"",AE6&gt;=1,AE6&lt;5),"Фото меньше 5",""),IF(AG6="","Видео",""),IF(H6="","Кадастровый номер",""),IF(AF6="","Ссылка на фото",""))="","",TEXTJOIN(", ",TRUE,IF(AH6="","Описание",""),IF(AND(AE6&lt;&gt;"",AE6&gt;=1,AE6&lt;5),"Фото меньше 5",""),IF(AG6="","Видео",""),IF(H6="","Кадастровый номер",""),IF(AF6="","Ссылка на фото",""))))</f>
        <v/>
      </c>
      <c r="AO6" s="35">
        <f>IF(NOT(COUNTA(A6:AL6)&gt;0),"",IF(AM6="","Можно публиковать","Не хватает"))</f>
        <v/>
      </c>
    </row>
    <row r="7" ht="22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31" t="n"/>
      <c r="L7" s="31" t="n"/>
      <c r="M7" s="32" t="n"/>
      <c r="N7" s="32" t="n"/>
      <c r="O7" s="32" t="n"/>
      <c r="P7" s="32" t="n"/>
      <c r="Q7" s="32" t="n"/>
      <c r="R7" s="32" t="n"/>
      <c r="S7" s="30" t="n"/>
      <c r="T7" s="30" t="n"/>
      <c r="U7" s="30" t="n"/>
      <c r="V7" s="30" t="n"/>
      <c r="W7" s="33" t="n"/>
      <c r="X7" s="33" t="n"/>
      <c r="Y7" s="33" t="n"/>
      <c r="Z7" s="34" t="n"/>
      <c r="AA7" s="34" t="n"/>
      <c r="AB7" s="30" t="n"/>
      <c r="AC7" s="33" t="n"/>
      <c r="AD7" s="33" t="n"/>
      <c r="AE7" s="32" t="n"/>
      <c r="AF7" s="30" t="n"/>
      <c r="AG7" s="30" t="n"/>
      <c r="AH7" s="30" t="n"/>
      <c r="AI7" s="30" t="n"/>
      <c r="AJ7" s="30" t="n"/>
      <c r="AK7" s="30" t="n"/>
      <c r="AL7" s="30" t="n"/>
      <c r="AM7" s="35">
        <f>IF(NOT(COUNTA(A7:AL7)&gt;0),"",IF(TEXTJOIN(", ",TRUE,IF(B7="","Название",""),IF(C7="","Тип недвижимости",""),IF(D7="","Страна",""),IF(E7="","Город",""),IF(F7="","Улица",""),IF(I7="","Валюта",""),IF(OR(AE7="",AE7&lt;1),"Хотя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земли",""),IF(OR(W7="",W7&lt;=0),"Продать сейчас",""),IF(OR(X7="",X7&lt;=0),"Минимальная цена продажи",""),IF(OR(Y7="",Y7&lt;=0),"Стартовая ставка",""),IF(Z7="","Начало аукциона",""),IF(AA7="","Окончание аукциона",""),IF(AND(W7&lt;&gt;"",X7&lt;&gt;"",X7&gt;W7),"Минимальная цена выше «Продать сейчас»",""),IF(AND(W7&lt;&gt;"",X7&lt;&gt;"",X7&lt;=W7,X7&gt;W7*0.9),"Минимальная цена выше 90% от «Продать сейчас»",""),IF(AND(W7&lt;&gt;"",Y7&lt;&gt;"",Y7&gt;W7*0.3),"Стартовая ставка выше 30% от «Продать сейчас»",""),IF(AND(Z7&lt;&gt;"",AA7&lt;&gt;"",AA7&lt;EDATE(Z7,3)+15),"Аукцион короче 3 месяцев и 15 дней",""),IF(AND(AB7="Да",OR(AC7="",AC7&lt;=0)),"Цена тест-драйва за сутки",""),IF(OR(AJ7="",AJ7="Нет"),"Право собственности",""),IF(OR(AK7="",AK7="Нет"),"Справка об отсутствии обременений",""))="","",TEXTJOIN(", ",TRUE,IF(B7="","Название",""),IF(C7="","Тип недвижимости",""),IF(D7="","Страна",""),IF(E7="","Город",""),IF(F7="","Улица",""),IF(I7="","Валюта",""),IF(OR(AE7="",AE7&lt;1),"Хотя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земли",""),IF(OR(W7="",W7&lt;=0),"Продать сейчас",""),IF(OR(X7="",X7&lt;=0),"Минимальная цена продажи",""),IF(OR(Y7="",Y7&lt;=0),"Стартовая ставка",""),IF(Z7="","Начало аукциона",""),IF(AA7="","Окончание аукциона",""),IF(AND(W7&lt;&gt;"",X7&lt;&gt;"",X7&gt;W7),"Минимальная цена выше «Продать сейчас»",""),IF(AND(W7&lt;&gt;"",X7&lt;&gt;"",X7&lt;=W7,X7&gt;W7*0.9),"Минимальная цена выше 90% от «Продать сейчас»",""),IF(AND(W7&lt;&gt;"",Y7&lt;&gt;"",Y7&gt;W7*0.3),"Стартовая ставка выше 30% от «Продать сейчас»",""),IF(AND(Z7&lt;&gt;"",AA7&lt;&gt;"",AA7&lt;EDATE(Z7,3)+15),"Аукцион короче 3 месяцев и 15 дней",""),IF(AND(AB7="Да",OR(AC7="",AC7&lt;=0)),"Цена тест-драйва за сутки",""),IF(OR(AJ7="",AJ7="Нет"),"Право собственности",""),IF(OR(AK7="",AK7="Нет"),"Справка об отсутствии обременений",""))))</f>
        <v/>
      </c>
      <c r="AN7" s="35">
        <f>IF(NOT(COUNTA(A7:AL7)&gt;0),"",IF(TEXTJOIN(", ",TRUE,IF(AH7="","Описание",""),IF(AND(AE7&lt;&gt;"",AE7&gt;=1,AE7&lt;5),"Фото меньше 5",""),IF(AG7="","Видео",""),IF(H7="","Кадастровый номер",""),IF(AF7="","Ссылка на фото",""))="","",TEXTJOIN(", ",TRUE,IF(AH7="","Описание",""),IF(AND(AE7&lt;&gt;"",AE7&gt;=1,AE7&lt;5),"Фото меньше 5",""),IF(AG7="","Видео",""),IF(H7="","Кадастровый номер",""),IF(AF7="","Ссылка на фото",""))))</f>
        <v/>
      </c>
      <c r="AO7" s="35">
        <f>IF(NOT(COUNTA(A7:AL7)&gt;0),"",IF(AM7="","Можно публиковать","Не хватает"))</f>
        <v/>
      </c>
    </row>
    <row r="8" ht="22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7" t="n"/>
      <c r="L8" s="37" t="n"/>
      <c r="M8" s="38" t="n"/>
      <c r="N8" s="38" t="n"/>
      <c r="O8" s="38" t="n"/>
      <c r="P8" s="38" t="n"/>
      <c r="Q8" s="38" t="n"/>
      <c r="R8" s="38" t="n"/>
      <c r="S8" s="36" t="n"/>
      <c r="T8" s="36" t="n"/>
      <c r="U8" s="36" t="n"/>
      <c r="V8" s="36" t="n"/>
      <c r="W8" s="39" t="n"/>
      <c r="X8" s="39" t="n"/>
      <c r="Y8" s="39" t="n"/>
      <c r="Z8" s="40" t="n"/>
      <c r="AA8" s="40" t="n"/>
      <c r="AB8" s="36" t="n"/>
      <c r="AC8" s="39" t="n"/>
      <c r="AD8" s="39" t="n"/>
      <c r="AE8" s="38" t="n"/>
      <c r="AF8" s="36" t="n"/>
      <c r="AG8" s="36" t="n"/>
      <c r="AH8" s="36" t="n"/>
      <c r="AI8" s="36" t="n"/>
      <c r="AJ8" s="36" t="n"/>
      <c r="AK8" s="36" t="n"/>
      <c r="AL8" s="36" t="n"/>
      <c r="AM8" s="35">
        <f>IF(NOT(COUNTA(A8:AL8)&gt;0),"",IF(TEXTJOIN(", ",TRUE,IF(B8="","Название",""),IF(C8="","Тип недвижимости",""),IF(D8="","Страна",""),IF(E8="","Город",""),IF(F8="","Улица",""),IF(I8="","Валюта",""),IF(OR(AE8="",AE8&lt;1),"Хотя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земли",""),IF(OR(W8="",W8&lt;=0),"Продать сейчас",""),IF(OR(X8="",X8&lt;=0),"Минимальная цена продажи",""),IF(OR(Y8="",Y8&lt;=0),"Стартовая ставка",""),IF(Z8="","Начало аукциона",""),IF(AA8="","Окончание аукциона",""),IF(AND(W8&lt;&gt;"",X8&lt;&gt;"",X8&gt;W8),"Минимальная цена выше «Продать сейчас»",""),IF(AND(W8&lt;&gt;"",X8&lt;&gt;"",X8&lt;=W8,X8&gt;W8*0.9),"Минимальная цена выше 90% от «Продать сейчас»",""),IF(AND(W8&lt;&gt;"",Y8&lt;&gt;"",Y8&gt;W8*0.3),"Стартовая ставка выше 30% от «Продать сейчас»",""),IF(AND(Z8&lt;&gt;"",AA8&lt;&gt;"",AA8&lt;EDATE(Z8,3)+15),"Аукцион короче 3 месяцев и 15 дней",""),IF(AND(AB8="Да",OR(AC8="",AC8&lt;=0)),"Цена тест-драйва за сутки",""),IF(OR(AJ8="",AJ8="Нет"),"Право собственности",""),IF(OR(AK8="",AK8="Нет"),"Справка об отсутствии обременений",""))="","",TEXTJOIN(", ",TRUE,IF(B8="","Название",""),IF(C8="","Тип недвижимости",""),IF(D8="","Страна",""),IF(E8="","Город",""),IF(F8="","Улица",""),IF(I8="","Валюта",""),IF(OR(AE8="",AE8&lt;1),"Хотя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земли",""),IF(OR(W8="",W8&lt;=0),"Продать сейчас",""),IF(OR(X8="",X8&lt;=0),"Минимальная цена продажи",""),IF(OR(Y8="",Y8&lt;=0),"Стартовая ставка",""),IF(Z8="","Начало аукциона",""),IF(AA8="","Окончание аукциона",""),IF(AND(W8&lt;&gt;"",X8&lt;&gt;"",X8&gt;W8),"Минимальная цена выше «Продать сейчас»",""),IF(AND(W8&lt;&gt;"",X8&lt;&gt;"",X8&lt;=W8,X8&gt;W8*0.9),"Минимальная цена выше 90% от «Продать сейчас»",""),IF(AND(W8&lt;&gt;"",Y8&lt;&gt;"",Y8&gt;W8*0.3),"Стартовая ставка выше 30% от «Продать сейчас»",""),IF(AND(Z8&lt;&gt;"",AA8&lt;&gt;"",AA8&lt;EDATE(Z8,3)+15),"Аукцион короче 3 месяцев и 15 дней",""),IF(AND(AB8="Да",OR(AC8="",AC8&lt;=0)),"Цена тест-драйва за сутки",""),IF(OR(AJ8="",AJ8="Нет"),"Право собственности",""),IF(OR(AK8="",AK8="Нет"),"Справка об отсутствии обременений",""))))</f>
        <v/>
      </c>
      <c r="AN8" s="35">
        <f>IF(NOT(COUNTA(A8:AL8)&gt;0),"",IF(TEXTJOIN(", ",TRUE,IF(AH8="","Описание",""),IF(AND(AE8&lt;&gt;"",AE8&gt;=1,AE8&lt;5),"Фото меньше 5",""),IF(AG8="","Видео",""),IF(H8="","Кадастровый номер",""),IF(AF8="","Ссылка на фото",""))="","",TEXTJOIN(", ",TRUE,IF(AH8="","Описание",""),IF(AND(AE8&lt;&gt;"",AE8&gt;=1,AE8&lt;5),"Фото меньше 5",""),IF(AG8="","Видео",""),IF(H8="","Кадастровый номер",""),IF(AF8="","Ссылка на фото",""))))</f>
        <v/>
      </c>
      <c r="AO8" s="35">
        <f>IF(NOT(COUNTA(A8:AL8)&gt;0),"",IF(AM8="","Можно публиковать","Не хватает"))</f>
        <v/>
      </c>
    </row>
    <row r="9" ht="22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31" t="n"/>
      <c r="L9" s="31" t="n"/>
      <c r="M9" s="32" t="n"/>
      <c r="N9" s="32" t="n"/>
      <c r="O9" s="32" t="n"/>
      <c r="P9" s="32" t="n"/>
      <c r="Q9" s="32" t="n"/>
      <c r="R9" s="32" t="n"/>
      <c r="S9" s="30" t="n"/>
      <c r="T9" s="30" t="n"/>
      <c r="U9" s="30" t="n"/>
      <c r="V9" s="30" t="n"/>
      <c r="W9" s="33" t="n"/>
      <c r="X9" s="33" t="n"/>
      <c r="Y9" s="33" t="n"/>
      <c r="Z9" s="34" t="n"/>
      <c r="AA9" s="34" t="n"/>
      <c r="AB9" s="30" t="n"/>
      <c r="AC9" s="33" t="n"/>
      <c r="AD9" s="33" t="n"/>
      <c r="AE9" s="32" t="n"/>
      <c r="AF9" s="30" t="n"/>
      <c r="AG9" s="30" t="n"/>
      <c r="AH9" s="30" t="n"/>
      <c r="AI9" s="30" t="n"/>
      <c r="AJ9" s="30" t="n"/>
      <c r="AK9" s="30" t="n"/>
      <c r="AL9" s="30" t="n"/>
      <c r="AM9" s="35">
        <f>IF(NOT(COUNTA(A9:AL9)&gt;0),"",IF(TEXTJOIN(", ",TRUE,IF(B9="","Название",""),IF(C9="","Тип недвижимости",""),IF(D9="","Страна",""),IF(E9="","Город",""),IF(F9="","Улица",""),IF(I9="","Валюта",""),IF(OR(AE9="",AE9&lt;1),"Хотя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земли",""),IF(OR(W9="",W9&lt;=0),"Продать сейчас",""),IF(OR(X9="",X9&lt;=0),"Минимальная цена продажи",""),IF(OR(Y9="",Y9&lt;=0),"Стартовая ставка",""),IF(Z9="","Начало аукциона",""),IF(AA9="","Окончание аукциона",""),IF(AND(W9&lt;&gt;"",X9&lt;&gt;"",X9&gt;W9),"Минимальная цена выше «Продать сейчас»",""),IF(AND(W9&lt;&gt;"",X9&lt;&gt;"",X9&lt;=W9,X9&gt;W9*0.9),"Минимальная цена выше 90% от «Продать сейчас»",""),IF(AND(W9&lt;&gt;"",Y9&lt;&gt;"",Y9&gt;W9*0.3),"Стартовая ставка выше 30% от «Продать сейчас»",""),IF(AND(Z9&lt;&gt;"",AA9&lt;&gt;"",AA9&lt;EDATE(Z9,3)+15),"Аукцион короче 3 месяцев и 15 дней",""),IF(AND(AB9="Да",OR(AC9="",AC9&lt;=0)),"Цена тест-драйва за сутки",""),IF(OR(AJ9="",AJ9="Нет"),"Право собственности",""),IF(OR(AK9="",AK9="Нет"),"Справка об отсутствии обременений",""))="","",TEXTJOIN(", ",TRUE,IF(B9="","Название",""),IF(C9="","Тип недвижимости",""),IF(D9="","Страна",""),IF(E9="","Город",""),IF(F9="","Улица",""),IF(I9="","Валюта",""),IF(OR(AE9="",AE9&lt;1),"Хотя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земли",""),IF(OR(W9="",W9&lt;=0),"Продать сейчас",""),IF(OR(X9="",X9&lt;=0),"Минимальная цена продажи",""),IF(OR(Y9="",Y9&lt;=0),"Стартовая ставка",""),IF(Z9="","Начало аукциона",""),IF(AA9="","Окончание аукциона",""),IF(AND(W9&lt;&gt;"",X9&lt;&gt;"",X9&gt;W9),"Минимальная цена выше «Продать сейчас»",""),IF(AND(W9&lt;&gt;"",X9&lt;&gt;"",X9&lt;=W9,X9&gt;W9*0.9),"Минимальная цена выше 90% от «Продать сейчас»",""),IF(AND(W9&lt;&gt;"",Y9&lt;&gt;"",Y9&gt;W9*0.3),"Стартовая ставка выше 30% от «Продать сейчас»",""),IF(AND(Z9&lt;&gt;"",AA9&lt;&gt;"",AA9&lt;EDATE(Z9,3)+15),"Аукцион короче 3 месяцев и 15 дней",""),IF(AND(AB9="Да",OR(AC9="",AC9&lt;=0)),"Цена тест-драйва за сутки",""),IF(OR(AJ9="",AJ9="Нет"),"Право собственности",""),IF(OR(AK9="",AK9="Нет"),"Справка об отсутствии обременений",""))))</f>
        <v/>
      </c>
      <c r="AN9" s="35">
        <f>IF(NOT(COUNTA(A9:AL9)&gt;0),"",IF(TEXTJOIN(", ",TRUE,IF(AH9="","Описание",""),IF(AND(AE9&lt;&gt;"",AE9&gt;=1,AE9&lt;5),"Фото меньше 5",""),IF(AG9="","Видео",""),IF(H9="","Кадастровый номер",""),IF(AF9="","Ссылка на фото",""))="","",TEXTJOIN(", ",TRUE,IF(AH9="","Описание",""),IF(AND(AE9&lt;&gt;"",AE9&gt;=1,AE9&lt;5),"Фото меньше 5",""),IF(AG9="","Видео",""),IF(H9="","Кадастровый номер",""),IF(AF9="","Ссылка на фото",""))))</f>
        <v/>
      </c>
      <c r="AO9" s="35">
        <f>IF(NOT(COUNTA(A9:AL9)&gt;0),"",IF(AM9="","Можно публиковать","Не хватает"))</f>
        <v/>
      </c>
    </row>
    <row r="10" ht="22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7" t="n"/>
      <c r="L10" s="37" t="n"/>
      <c r="M10" s="38" t="n"/>
      <c r="N10" s="38" t="n"/>
      <c r="O10" s="38" t="n"/>
      <c r="P10" s="38" t="n"/>
      <c r="Q10" s="38" t="n"/>
      <c r="R10" s="38" t="n"/>
      <c r="S10" s="36" t="n"/>
      <c r="T10" s="36" t="n"/>
      <c r="U10" s="36" t="n"/>
      <c r="V10" s="36" t="n"/>
      <c r="W10" s="39" t="n"/>
      <c r="X10" s="39" t="n"/>
      <c r="Y10" s="39" t="n"/>
      <c r="Z10" s="40" t="n"/>
      <c r="AA10" s="40" t="n"/>
      <c r="AB10" s="36" t="n"/>
      <c r="AC10" s="39" t="n"/>
      <c r="AD10" s="39" t="n"/>
      <c r="AE10" s="38" t="n"/>
      <c r="AF10" s="36" t="n"/>
      <c r="AG10" s="36" t="n"/>
      <c r="AH10" s="36" t="n"/>
      <c r="AI10" s="36" t="n"/>
      <c r="AJ10" s="36" t="n"/>
      <c r="AK10" s="36" t="n"/>
      <c r="AL10" s="36" t="n"/>
      <c r="AM10" s="35">
        <f>IF(NOT(COUNTA(A10:AL10)&gt;0),"",IF(TEXTJOIN(", ",TRUE,IF(B10="","Название",""),IF(C10="","Тип недвижимости",""),IF(D10="","Страна",""),IF(E10="","Город",""),IF(F10="","Улица",""),IF(I10="","Валюта",""),IF(OR(AE10="",AE10&lt;1),"Хотя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земли",""),IF(OR(W10="",W10&lt;=0),"Продать сейчас",""),IF(OR(X10="",X10&lt;=0),"Минимальная цена продажи",""),IF(OR(Y10="",Y10&lt;=0),"Стартовая ставка",""),IF(Z10="","Начало аукциона",""),IF(AA10="","Окончание аукциона",""),IF(AND(W10&lt;&gt;"",X10&lt;&gt;"",X10&gt;W10),"Минимальная цена выше «Продать сейчас»",""),IF(AND(W10&lt;&gt;"",X10&lt;&gt;"",X10&lt;=W10,X10&gt;W10*0.9),"Минимальная цена выше 90% от «Продать сейчас»",""),IF(AND(W10&lt;&gt;"",Y10&lt;&gt;"",Y10&gt;W10*0.3),"Стартовая ставка выше 30% от «Продать сейчас»",""),IF(AND(Z10&lt;&gt;"",AA10&lt;&gt;"",AA10&lt;EDATE(Z10,3)+15),"Аукцион короче 3 месяцев и 15 дней",""),IF(AND(AB10="Да",OR(AC10="",AC10&lt;=0)),"Цена тест-драйва за сутки",""),IF(OR(AJ10="",AJ10="Нет"),"Право собственности",""),IF(OR(AK10="",AK10="Нет"),"Справка об отсутствии обременений",""))="","",TEXTJOIN(", ",TRUE,IF(B10="","Название",""),IF(C10="","Тип недвижимости",""),IF(D10="","Страна",""),IF(E10="","Город",""),IF(F10="","Улица",""),IF(I10="","Валюта",""),IF(OR(AE10="",AE10&lt;1),"Хотя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земли",""),IF(OR(W10="",W10&lt;=0),"Продать сейчас",""),IF(OR(X10="",X10&lt;=0),"Минимальная цена продажи",""),IF(OR(Y10="",Y10&lt;=0),"Стартовая ставка",""),IF(Z10="","Начало аукциона",""),IF(AA10="","Окончание аукциона",""),IF(AND(W10&lt;&gt;"",X10&lt;&gt;"",X10&gt;W10),"Минимальная цена выше «Продать сейчас»",""),IF(AND(W10&lt;&gt;"",X10&lt;&gt;"",X10&lt;=W10,X10&gt;W10*0.9),"Минимальная цена выше 90% от «Продать сейчас»",""),IF(AND(W10&lt;&gt;"",Y10&lt;&gt;"",Y10&gt;W10*0.3),"Стартовая ставка выше 30% от «Продать сейчас»",""),IF(AND(Z10&lt;&gt;"",AA10&lt;&gt;"",AA10&lt;EDATE(Z10,3)+15),"Аукцион короче 3 месяцев и 15 дней",""),IF(AND(AB10="Да",OR(AC10="",AC10&lt;=0)),"Цена тест-драйва за сутки",""),IF(OR(AJ10="",AJ10="Нет"),"Право собственности",""),IF(OR(AK10="",AK10="Нет"),"Справка об отсутствии обременений",""))))</f>
        <v/>
      </c>
      <c r="AN10" s="35">
        <f>IF(NOT(COUNTA(A10:AL10)&gt;0),"",IF(TEXTJOIN(", ",TRUE,IF(AH10="","Описание",""),IF(AND(AE10&lt;&gt;"",AE10&gt;=1,AE10&lt;5),"Фото меньше 5",""),IF(AG10="","Видео",""),IF(H10="","Кадастровый номер",""),IF(AF10="","Ссылка на фото",""))="","",TEXTJOIN(", ",TRUE,IF(AH10="","Описание",""),IF(AND(AE10&lt;&gt;"",AE10&gt;=1,AE10&lt;5),"Фото меньше 5",""),IF(AG10="","Видео",""),IF(H10="","Кадастровый номер",""),IF(AF10="","Ссылка на фото",""))))</f>
        <v/>
      </c>
      <c r="AO10" s="35">
        <f>IF(NOT(COUNTA(A10:AL10)&gt;0),"",IF(AM10="","Можно публиковать","Не хватает"))</f>
        <v/>
      </c>
    </row>
    <row r="11" ht="22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 t="n"/>
      <c r="K11" s="31" t="n"/>
      <c r="L11" s="31" t="n"/>
      <c r="M11" s="32" t="n"/>
      <c r="N11" s="32" t="n"/>
      <c r="O11" s="32" t="n"/>
      <c r="P11" s="32" t="n"/>
      <c r="Q11" s="32" t="n"/>
      <c r="R11" s="32" t="n"/>
      <c r="S11" s="30" t="n"/>
      <c r="T11" s="30" t="n"/>
      <c r="U11" s="30" t="n"/>
      <c r="V11" s="30" t="n"/>
      <c r="W11" s="33" t="n"/>
      <c r="X11" s="33" t="n"/>
      <c r="Y11" s="33" t="n"/>
      <c r="Z11" s="34" t="n"/>
      <c r="AA11" s="34" t="n"/>
      <c r="AB11" s="30" t="n"/>
      <c r="AC11" s="33" t="n"/>
      <c r="AD11" s="33" t="n"/>
      <c r="AE11" s="32" t="n"/>
      <c r="AF11" s="30" t="n"/>
      <c r="AG11" s="30" t="n"/>
      <c r="AH11" s="30" t="n"/>
      <c r="AI11" s="30" t="n"/>
      <c r="AJ11" s="30" t="n"/>
      <c r="AK11" s="30" t="n"/>
      <c r="AL11" s="30" t="n"/>
      <c r="AM11" s="35">
        <f>IF(NOT(COUNTA(A11:AL11)&gt;0),"",IF(TEXTJOIN(", ",TRUE,IF(B11="","Название",""),IF(C11="","Тип недвижимости",""),IF(D11="","Страна",""),IF(E11="","Город",""),IF(F11="","Улица",""),IF(I11="","Валюта",""),IF(OR(AE11="",AE11&lt;1),"Хотя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земли",""),IF(OR(W11="",W11&lt;=0),"Продать сейчас",""),IF(OR(X11="",X11&lt;=0),"Минимальная цена продажи",""),IF(OR(Y11="",Y11&lt;=0),"Стартовая ставка",""),IF(Z11="","Начало аукциона",""),IF(AA11="","Окончание аукциона",""),IF(AND(W11&lt;&gt;"",X11&lt;&gt;"",X11&gt;W11),"Минимальная цена выше «Продать сейчас»",""),IF(AND(W11&lt;&gt;"",X11&lt;&gt;"",X11&lt;=W11,X11&gt;W11*0.9),"Минимальная цена выше 90% от «Продать сейчас»",""),IF(AND(W11&lt;&gt;"",Y11&lt;&gt;"",Y11&gt;W11*0.3),"Стартовая ставка выше 30% от «Продать сейчас»",""),IF(AND(Z11&lt;&gt;"",AA11&lt;&gt;"",AA11&lt;EDATE(Z11,3)+15),"Аукцион короче 3 месяцев и 15 дней",""),IF(AND(AB11="Да",OR(AC11="",AC11&lt;=0)),"Цена тест-драйва за сутки",""),IF(OR(AJ11="",AJ11="Нет"),"Право собственности",""),IF(OR(AK11="",AK11="Нет"),"Справка об отсутствии обременений",""))="","",TEXTJOIN(", ",TRUE,IF(B11="","Название",""),IF(C11="","Тип недвижимости",""),IF(D11="","Страна",""),IF(E11="","Город",""),IF(F11="","Улица",""),IF(I11="","Валюта",""),IF(OR(AE11="",AE11&lt;1),"Хотя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земли",""),IF(OR(W11="",W11&lt;=0),"Продать сейчас",""),IF(OR(X11="",X11&lt;=0),"Минимальная цена продажи",""),IF(OR(Y11="",Y11&lt;=0),"Стартовая ставка",""),IF(Z11="","Начало аукциона",""),IF(AA11="","Окончание аукциона",""),IF(AND(W11&lt;&gt;"",X11&lt;&gt;"",X11&gt;W11),"Минимальная цена выше «Продать сейчас»",""),IF(AND(W11&lt;&gt;"",X11&lt;&gt;"",X11&lt;=W11,X11&gt;W11*0.9),"Минимальная цена выше 90% от «Продать сейчас»",""),IF(AND(W11&lt;&gt;"",Y11&lt;&gt;"",Y11&gt;W11*0.3),"Стартовая ставка выше 30% от «Продать сейчас»",""),IF(AND(Z11&lt;&gt;"",AA11&lt;&gt;"",AA11&lt;EDATE(Z11,3)+15),"Аукцион короче 3 месяцев и 15 дней",""),IF(AND(AB11="Да",OR(AC11="",AC11&lt;=0)),"Цена тест-драйва за сутки",""),IF(OR(AJ11="",AJ11="Нет"),"Право собственности",""),IF(OR(AK11="",AK11="Нет"),"Справка об отсутствии обременений",""))))</f>
        <v/>
      </c>
      <c r="AN11" s="35">
        <f>IF(NOT(COUNTA(A11:AL11)&gt;0),"",IF(TEXTJOIN(", ",TRUE,IF(AH11="","Описание",""),IF(AND(AE11&lt;&gt;"",AE11&gt;=1,AE11&lt;5),"Фото меньше 5",""),IF(AG11="","Видео",""),IF(H11="","Кадастровый номер",""),IF(AF11="","Ссылка на фото",""))="","",TEXTJOIN(", ",TRUE,IF(AH11="","Описание",""),IF(AND(AE11&lt;&gt;"",AE11&gt;=1,AE11&lt;5),"Фото меньше 5",""),IF(AG11="","Видео",""),IF(H11="","Кадастровый номер",""),IF(AF11="","Ссылка на фото",""))))</f>
        <v/>
      </c>
      <c r="AO11" s="35">
        <f>IF(NOT(COUNTA(A11:AL11)&gt;0),"",IF(AM11="","Можно публиковать","Не хватает"))</f>
        <v/>
      </c>
    </row>
    <row r="12" ht="22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7" t="n"/>
      <c r="K12" s="37" t="n"/>
      <c r="L12" s="37" t="n"/>
      <c r="M12" s="38" t="n"/>
      <c r="N12" s="38" t="n"/>
      <c r="O12" s="38" t="n"/>
      <c r="P12" s="38" t="n"/>
      <c r="Q12" s="38" t="n"/>
      <c r="R12" s="38" t="n"/>
      <c r="S12" s="36" t="n"/>
      <c r="T12" s="36" t="n"/>
      <c r="U12" s="36" t="n"/>
      <c r="V12" s="36" t="n"/>
      <c r="W12" s="39" t="n"/>
      <c r="X12" s="39" t="n"/>
      <c r="Y12" s="39" t="n"/>
      <c r="Z12" s="40" t="n"/>
      <c r="AA12" s="40" t="n"/>
      <c r="AB12" s="36" t="n"/>
      <c r="AC12" s="39" t="n"/>
      <c r="AD12" s="39" t="n"/>
      <c r="AE12" s="38" t="n"/>
      <c r="AF12" s="36" t="n"/>
      <c r="AG12" s="36" t="n"/>
      <c r="AH12" s="36" t="n"/>
      <c r="AI12" s="36" t="n"/>
      <c r="AJ12" s="36" t="n"/>
      <c r="AK12" s="36" t="n"/>
      <c r="AL12" s="36" t="n"/>
      <c r="AM12" s="35">
        <f>IF(NOT(COUNTA(A12:AL12)&gt;0),"",IF(TEXTJOIN(", ",TRUE,IF(B12="","Название",""),IF(C12="","Тип недвижимости",""),IF(D12="","Страна",""),IF(E12="","Город",""),IF(F12="","Улица",""),IF(I12="","Валюта",""),IF(OR(AE12="",AE12&lt;1),"Хотя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земли",""),IF(OR(W12="",W12&lt;=0),"Продать сейчас",""),IF(OR(X12="",X12&lt;=0),"Минимальная цена продажи",""),IF(OR(Y12="",Y12&lt;=0),"Стартовая ставка",""),IF(Z12="","Начало аукциона",""),IF(AA12="","Окончание аукциона",""),IF(AND(W12&lt;&gt;"",X12&lt;&gt;"",X12&gt;W12),"Минимальная цена выше «Продать сейчас»",""),IF(AND(W12&lt;&gt;"",X12&lt;&gt;"",X12&lt;=W12,X12&gt;W12*0.9),"Минимальная цена выше 90% от «Продать сейчас»",""),IF(AND(W12&lt;&gt;"",Y12&lt;&gt;"",Y12&gt;W12*0.3),"Стартовая ставка выше 30% от «Продать сейчас»",""),IF(AND(Z12&lt;&gt;"",AA12&lt;&gt;"",AA12&lt;EDATE(Z12,3)+15),"Аукцион короче 3 месяцев и 15 дней",""),IF(AND(AB12="Да",OR(AC12="",AC12&lt;=0)),"Цена тест-драйва за сутки",""),IF(OR(AJ12="",AJ12="Нет"),"Право собственности",""),IF(OR(AK12="",AK12="Нет"),"Справка об отсутствии обременений",""))="","",TEXTJOIN(", ",TRUE,IF(B12="","Название",""),IF(C12="","Тип недвижимости",""),IF(D12="","Страна",""),IF(E12="","Город",""),IF(F12="","Улица",""),IF(I12="","Валюта",""),IF(OR(AE12="",AE12&lt;1),"Хотя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земли",""),IF(OR(W12="",W12&lt;=0),"Продать сейчас",""),IF(OR(X12="",X12&lt;=0),"Минимальная цена продажи",""),IF(OR(Y12="",Y12&lt;=0),"Стартовая ставка",""),IF(Z12="","Начало аукциона",""),IF(AA12="","Окончание аукциона",""),IF(AND(W12&lt;&gt;"",X12&lt;&gt;"",X12&gt;W12),"Минимальная цена выше «Продать сейчас»",""),IF(AND(W12&lt;&gt;"",X12&lt;&gt;"",X12&lt;=W12,X12&gt;W12*0.9),"Минимальная цена выше 90% от «Продать сейчас»",""),IF(AND(W12&lt;&gt;"",Y12&lt;&gt;"",Y12&gt;W12*0.3),"Стартовая ставка выше 30% от «Продать сейчас»",""),IF(AND(Z12&lt;&gt;"",AA12&lt;&gt;"",AA12&lt;EDATE(Z12,3)+15),"Аукцион короче 3 месяцев и 15 дней",""),IF(AND(AB12="Да",OR(AC12="",AC12&lt;=0)),"Цена тест-драйва за сутки",""),IF(OR(AJ12="",AJ12="Нет"),"Право собственности",""),IF(OR(AK12="",AK12="Нет"),"Справка об отсутствии обременений",""))))</f>
        <v/>
      </c>
      <c r="AN12" s="35">
        <f>IF(NOT(COUNTA(A12:AL12)&gt;0),"",IF(TEXTJOIN(", ",TRUE,IF(AH12="","Описание",""),IF(AND(AE12&lt;&gt;"",AE12&gt;=1,AE12&lt;5),"Фото меньше 5",""),IF(AG12="","Видео",""),IF(H12="","Кадастровый номер",""),IF(AF12="","Ссылка на фото",""))="","",TEXTJOIN(", ",TRUE,IF(AH12="","Описание",""),IF(AND(AE12&lt;&gt;"",AE12&gt;=1,AE12&lt;5),"Фото меньше 5",""),IF(AG12="","Видео",""),IF(H12="","Кадастровый номер",""),IF(AF12="","Ссылка на фото",""))))</f>
        <v/>
      </c>
      <c r="AO12" s="35">
        <f>IF(NOT(COUNTA(A12:AL12)&gt;0),"",IF(AM12="","Можно публиковать","Не хватает"))</f>
        <v/>
      </c>
    </row>
    <row r="13" ht="22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31" t="n"/>
      <c r="L13" s="31" t="n"/>
      <c r="M13" s="32" t="n"/>
      <c r="N13" s="32" t="n"/>
      <c r="O13" s="32" t="n"/>
      <c r="P13" s="32" t="n"/>
      <c r="Q13" s="32" t="n"/>
      <c r="R13" s="32" t="n"/>
      <c r="S13" s="30" t="n"/>
      <c r="T13" s="30" t="n"/>
      <c r="U13" s="30" t="n"/>
      <c r="V13" s="30" t="n"/>
      <c r="W13" s="33" t="n"/>
      <c r="X13" s="33" t="n"/>
      <c r="Y13" s="33" t="n"/>
      <c r="Z13" s="34" t="n"/>
      <c r="AA13" s="34" t="n"/>
      <c r="AB13" s="30" t="n"/>
      <c r="AC13" s="33" t="n"/>
      <c r="AD13" s="33" t="n"/>
      <c r="AE13" s="32" t="n"/>
      <c r="AF13" s="30" t="n"/>
      <c r="AG13" s="30" t="n"/>
      <c r="AH13" s="30" t="n"/>
      <c r="AI13" s="30" t="n"/>
      <c r="AJ13" s="30" t="n"/>
      <c r="AK13" s="30" t="n"/>
      <c r="AL13" s="30" t="n"/>
      <c r="AM13" s="35">
        <f>IF(NOT(COUNTA(A13:AL13)&gt;0),"",IF(TEXTJOIN(", ",TRUE,IF(B13="","Название",""),IF(C13="","Тип недвижимости",""),IF(D13="","Страна",""),IF(E13="","Город",""),IF(F13="","Улица",""),IF(I13="","Валюта",""),IF(OR(AE13="",AE13&lt;1),"Хотя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земли",""),IF(OR(W13="",W13&lt;=0),"Продать сейчас",""),IF(OR(X13="",X13&lt;=0),"Минимальная цена продажи",""),IF(OR(Y13="",Y13&lt;=0),"Стартовая ставка",""),IF(Z13="","Начало аукциона",""),IF(AA13="","Окончание аукциона",""),IF(AND(W13&lt;&gt;"",X13&lt;&gt;"",X13&gt;W13),"Минимальная цена выше «Продать сейчас»",""),IF(AND(W13&lt;&gt;"",X13&lt;&gt;"",X13&lt;=W13,X13&gt;W13*0.9),"Минимальная цена выше 90% от «Продать сейчас»",""),IF(AND(W13&lt;&gt;"",Y13&lt;&gt;"",Y13&gt;W13*0.3),"Стартовая ставка выше 30% от «Продать сейчас»",""),IF(AND(Z13&lt;&gt;"",AA13&lt;&gt;"",AA13&lt;EDATE(Z13,3)+15),"Аукцион короче 3 месяцев и 15 дней",""),IF(AND(AB13="Да",OR(AC13="",AC13&lt;=0)),"Цена тест-драйва за сутки",""),IF(OR(AJ13="",AJ13="Нет"),"Право собственности",""),IF(OR(AK13="",AK13="Нет"),"Справка об отсутствии обременений",""))="","",TEXTJOIN(", ",TRUE,IF(B13="","Название",""),IF(C13="","Тип недвижимости",""),IF(D13="","Страна",""),IF(E13="","Город",""),IF(F13="","Улица",""),IF(I13="","Валюта",""),IF(OR(AE13="",AE13&lt;1),"Хотя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земли",""),IF(OR(W13="",W13&lt;=0),"Продать сейчас",""),IF(OR(X13="",X13&lt;=0),"Минимальная цена продажи",""),IF(OR(Y13="",Y13&lt;=0),"Стартовая ставка",""),IF(Z13="","Начало аукциона",""),IF(AA13="","Окончание аукциона",""),IF(AND(W13&lt;&gt;"",X13&lt;&gt;"",X13&gt;W13),"Минимальная цена выше «Продать сейчас»",""),IF(AND(W13&lt;&gt;"",X13&lt;&gt;"",X13&lt;=W13,X13&gt;W13*0.9),"Минимальная цена выше 90% от «Продать сейчас»",""),IF(AND(W13&lt;&gt;"",Y13&lt;&gt;"",Y13&gt;W13*0.3),"Стартовая ставка выше 30% от «Продать сейчас»",""),IF(AND(Z13&lt;&gt;"",AA13&lt;&gt;"",AA13&lt;EDATE(Z13,3)+15),"Аукцион короче 3 месяцев и 15 дней",""),IF(AND(AB13="Да",OR(AC13="",AC13&lt;=0)),"Цена тест-драйва за сутки",""),IF(OR(AJ13="",AJ13="Нет"),"Право собственности",""),IF(OR(AK13="",AK13="Нет"),"Справка об отсутствии обременений",""))))</f>
        <v/>
      </c>
      <c r="AN13" s="35">
        <f>IF(NOT(COUNTA(A13:AL13)&gt;0),"",IF(TEXTJOIN(", ",TRUE,IF(AH13="","Описание",""),IF(AND(AE13&lt;&gt;"",AE13&gt;=1,AE13&lt;5),"Фото меньше 5",""),IF(AG13="","Видео",""),IF(H13="","Кадастровый номер",""),IF(AF13="","Ссылка на фото",""))="","",TEXTJOIN(", ",TRUE,IF(AH13="","Описание",""),IF(AND(AE13&lt;&gt;"",AE13&gt;=1,AE13&lt;5),"Фото меньше 5",""),IF(AG13="","Видео",""),IF(H13="","Кадастровый номер",""),IF(AF13="","Ссылка на фото",""))))</f>
        <v/>
      </c>
      <c r="AO13" s="35">
        <f>IF(NOT(COUNTA(A13:AL13)&gt;0),"",IF(AM13="","Можно публиковать","Не хватает"))</f>
        <v/>
      </c>
    </row>
    <row r="14" ht="22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7" t="n"/>
      <c r="K14" s="37" t="n"/>
      <c r="L14" s="37" t="n"/>
      <c r="M14" s="38" t="n"/>
      <c r="N14" s="38" t="n"/>
      <c r="O14" s="38" t="n"/>
      <c r="P14" s="38" t="n"/>
      <c r="Q14" s="38" t="n"/>
      <c r="R14" s="38" t="n"/>
      <c r="S14" s="36" t="n"/>
      <c r="T14" s="36" t="n"/>
      <c r="U14" s="36" t="n"/>
      <c r="V14" s="36" t="n"/>
      <c r="W14" s="39" t="n"/>
      <c r="X14" s="39" t="n"/>
      <c r="Y14" s="39" t="n"/>
      <c r="Z14" s="40" t="n"/>
      <c r="AA14" s="40" t="n"/>
      <c r="AB14" s="36" t="n"/>
      <c r="AC14" s="39" t="n"/>
      <c r="AD14" s="39" t="n"/>
      <c r="AE14" s="38" t="n"/>
      <c r="AF14" s="36" t="n"/>
      <c r="AG14" s="36" t="n"/>
      <c r="AH14" s="36" t="n"/>
      <c r="AI14" s="36" t="n"/>
      <c r="AJ14" s="36" t="n"/>
      <c r="AK14" s="36" t="n"/>
      <c r="AL14" s="36" t="n"/>
      <c r="AM14" s="35">
        <f>IF(NOT(COUNTA(A14:AL14)&gt;0),"",IF(TEXTJOIN(", ",TRUE,IF(B14="","Название",""),IF(C14="","Тип недвижимости",""),IF(D14="","Страна",""),IF(E14="","Город",""),IF(F14="","Улица",""),IF(I14="","Валюта",""),IF(OR(AE14="",AE14&lt;1),"Хотя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земли",""),IF(OR(W14="",W14&lt;=0),"Продать сейчас",""),IF(OR(X14="",X14&lt;=0),"Минимальная цена продажи",""),IF(OR(Y14="",Y14&lt;=0),"Стартовая ставка",""),IF(Z14="","Начало аукциона",""),IF(AA14="","Окончание аукциона",""),IF(AND(W14&lt;&gt;"",X14&lt;&gt;"",X14&gt;W14),"Минимальная цена выше «Продать сейчас»",""),IF(AND(W14&lt;&gt;"",X14&lt;&gt;"",X14&lt;=W14,X14&gt;W14*0.9),"Минимальная цена выше 90% от «Продать сейчас»",""),IF(AND(W14&lt;&gt;"",Y14&lt;&gt;"",Y14&gt;W14*0.3),"Стартовая ставка выше 30% от «Продать сейчас»",""),IF(AND(Z14&lt;&gt;"",AA14&lt;&gt;"",AA14&lt;EDATE(Z14,3)+15),"Аукцион короче 3 месяцев и 15 дней",""),IF(AND(AB14="Да",OR(AC14="",AC14&lt;=0)),"Цена тест-драйва за сутки",""),IF(OR(AJ14="",AJ14="Нет"),"Право собственности",""),IF(OR(AK14="",AK14="Нет"),"Справка об отсутствии обременений",""))="","",TEXTJOIN(", ",TRUE,IF(B14="","Название",""),IF(C14="","Тип недвижимости",""),IF(D14="","Страна",""),IF(E14="","Город",""),IF(F14="","Улица",""),IF(I14="","Валюта",""),IF(OR(AE14="",AE14&lt;1),"Хотя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земли",""),IF(OR(W14="",W14&lt;=0),"Продать сейчас",""),IF(OR(X14="",X14&lt;=0),"Минимальная цена продажи",""),IF(OR(Y14="",Y14&lt;=0),"Стартовая ставка",""),IF(Z14="","Начало аукциона",""),IF(AA14="","Окончание аукциона",""),IF(AND(W14&lt;&gt;"",X14&lt;&gt;"",X14&gt;W14),"Минимальная цена выше «Продать сейчас»",""),IF(AND(W14&lt;&gt;"",X14&lt;&gt;"",X14&lt;=W14,X14&gt;W14*0.9),"Минимальная цена выше 90% от «Продать сейчас»",""),IF(AND(W14&lt;&gt;"",Y14&lt;&gt;"",Y14&gt;W14*0.3),"Стартовая ставка выше 30% от «Продать сейчас»",""),IF(AND(Z14&lt;&gt;"",AA14&lt;&gt;"",AA14&lt;EDATE(Z14,3)+15),"Аукцион короче 3 месяцев и 15 дней",""),IF(AND(AB14="Да",OR(AC14="",AC14&lt;=0)),"Цена тест-драйва за сутки",""),IF(OR(AJ14="",AJ14="Нет"),"Право собственности",""),IF(OR(AK14="",AK14="Нет"),"Справка об отсутствии обременений",""))))</f>
        <v/>
      </c>
      <c r="AN14" s="35">
        <f>IF(NOT(COUNTA(A14:AL14)&gt;0),"",IF(TEXTJOIN(", ",TRUE,IF(AH14="","Описание",""),IF(AND(AE14&lt;&gt;"",AE14&gt;=1,AE14&lt;5),"Фото меньше 5",""),IF(AG14="","Видео",""),IF(H14="","Кадастровый номер",""),IF(AF14="","Ссылка на фото",""))="","",TEXTJOIN(", ",TRUE,IF(AH14="","Описание",""),IF(AND(AE14&lt;&gt;"",AE14&gt;=1,AE14&lt;5),"Фото меньше 5",""),IF(AG14="","Видео",""),IF(H14="","Кадастровый номер",""),IF(AF14="","Ссылка на фото",""))))</f>
        <v/>
      </c>
      <c r="AO14" s="35">
        <f>IF(NOT(COUNTA(A14:AL14)&gt;0),"",IF(AM14="","Можно публиковать","Не хватает"))</f>
        <v/>
      </c>
    </row>
    <row r="15" ht="22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 t="n"/>
      <c r="K15" s="31" t="n"/>
      <c r="L15" s="31" t="n"/>
      <c r="M15" s="32" t="n"/>
      <c r="N15" s="32" t="n"/>
      <c r="O15" s="32" t="n"/>
      <c r="P15" s="32" t="n"/>
      <c r="Q15" s="32" t="n"/>
      <c r="R15" s="32" t="n"/>
      <c r="S15" s="30" t="n"/>
      <c r="T15" s="30" t="n"/>
      <c r="U15" s="30" t="n"/>
      <c r="V15" s="30" t="n"/>
      <c r="W15" s="33" t="n"/>
      <c r="X15" s="33" t="n"/>
      <c r="Y15" s="33" t="n"/>
      <c r="Z15" s="34" t="n"/>
      <c r="AA15" s="34" t="n"/>
      <c r="AB15" s="30" t="n"/>
      <c r="AC15" s="33" t="n"/>
      <c r="AD15" s="33" t="n"/>
      <c r="AE15" s="32" t="n"/>
      <c r="AF15" s="30" t="n"/>
      <c r="AG15" s="30" t="n"/>
      <c r="AH15" s="30" t="n"/>
      <c r="AI15" s="30" t="n"/>
      <c r="AJ15" s="30" t="n"/>
      <c r="AK15" s="30" t="n"/>
      <c r="AL15" s="30" t="n"/>
      <c r="AM15" s="35">
        <f>IF(NOT(COUNTA(A15:AL15)&gt;0),"",IF(TEXTJOIN(", ",TRUE,IF(B15="","Название",""),IF(C15="","Тип недвижимости",""),IF(D15="","Страна",""),IF(E15="","Город",""),IF(F15="","Улица",""),IF(I15="","Валюта",""),IF(OR(AE15="",AE15&lt;1),"Хотя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земли",""),IF(OR(W15="",W15&lt;=0),"Продать сейчас",""),IF(OR(X15="",X15&lt;=0),"Минимальная цена продажи",""),IF(OR(Y15="",Y15&lt;=0),"Стартовая ставка",""),IF(Z15="","Начало аукциона",""),IF(AA15="","Окончание аукциона",""),IF(AND(W15&lt;&gt;"",X15&lt;&gt;"",X15&gt;W15),"Минимальная цена выше «Продать сейчас»",""),IF(AND(W15&lt;&gt;"",X15&lt;&gt;"",X15&lt;=W15,X15&gt;W15*0.9),"Минимальная цена выше 90% от «Продать сейчас»",""),IF(AND(W15&lt;&gt;"",Y15&lt;&gt;"",Y15&gt;W15*0.3),"Стартовая ставка выше 30% от «Продать сейчас»",""),IF(AND(Z15&lt;&gt;"",AA15&lt;&gt;"",AA15&lt;EDATE(Z15,3)+15),"Аукцион короче 3 месяцев и 15 дней",""),IF(AND(AB15="Да",OR(AC15="",AC15&lt;=0)),"Цена тест-драйва за сутки",""),IF(OR(AJ15="",AJ15="Нет"),"Право собственности",""),IF(OR(AK15="",AK15="Нет"),"Справка об отсутствии обременений",""))="","",TEXTJOIN(", ",TRUE,IF(B15="","Название",""),IF(C15="","Тип недвижимости",""),IF(D15="","Страна",""),IF(E15="","Город",""),IF(F15="","Улица",""),IF(I15="","Валюта",""),IF(OR(AE15="",AE15&lt;1),"Хотя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земли",""),IF(OR(W15="",W15&lt;=0),"Продать сейчас",""),IF(OR(X15="",X15&lt;=0),"Минимальная цена продажи",""),IF(OR(Y15="",Y15&lt;=0),"Стартовая ставка",""),IF(Z15="","Начало аукциона",""),IF(AA15="","Окончание аукциона",""),IF(AND(W15&lt;&gt;"",X15&lt;&gt;"",X15&gt;W15),"Минимальная цена выше «Продать сейчас»",""),IF(AND(W15&lt;&gt;"",X15&lt;&gt;"",X15&lt;=W15,X15&gt;W15*0.9),"Минимальная цена выше 90% от «Продать сейчас»",""),IF(AND(W15&lt;&gt;"",Y15&lt;&gt;"",Y15&gt;W15*0.3),"Стартовая ставка выше 30% от «Продать сейчас»",""),IF(AND(Z15&lt;&gt;"",AA15&lt;&gt;"",AA15&lt;EDATE(Z15,3)+15),"Аукцион короче 3 месяцев и 15 дней",""),IF(AND(AB15="Да",OR(AC15="",AC15&lt;=0)),"Цена тест-драйва за сутки",""),IF(OR(AJ15="",AJ15="Нет"),"Право собственности",""),IF(OR(AK15="",AK15="Нет"),"Справка об отсутствии обременений",""))))</f>
        <v/>
      </c>
      <c r="AN15" s="35">
        <f>IF(NOT(COUNTA(A15:AL15)&gt;0),"",IF(TEXTJOIN(", ",TRUE,IF(AH15="","Описание",""),IF(AND(AE15&lt;&gt;"",AE15&gt;=1,AE15&lt;5),"Фото меньше 5",""),IF(AG15="","Видео",""),IF(H15="","Кадастровый номер",""),IF(AF15="","Ссылка на фото",""))="","",TEXTJOIN(", ",TRUE,IF(AH15="","Описание",""),IF(AND(AE15&lt;&gt;"",AE15&gt;=1,AE15&lt;5),"Фото меньше 5",""),IF(AG15="","Видео",""),IF(H15="","Кадастровый номер",""),IF(AF15="","Ссылка на фото",""))))</f>
        <v/>
      </c>
      <c r="AO15" s="35">
        <f>IF(NOT(COUNTA(A15:AL15)&gt;0),"",IF(AM15="","Можно публиковать","Не хватает"))</f>
        <v/>
      </c>
    </row>
    <row r="16" ht="22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7" t="n"/>
      <c r="K16" s="37" t="n"/>
      <c r="L16" s="37" t="n"/>
      <c r="M16" s="38" t="n"/>
      <c r="N16" s="38" t="n"/>
      <c r="O16" s="38" t="n"/>
      <c r="P16" s="38" t="n"/>
      <c r="Q16" s="38" t="n"/>
      <c r="R16" s="38" t="n"/>
      <c r="S16" s="36" t="n"/>
      <c r="T16" s="36" t="n"/>
      <c r="U16" s="36" t="n"/>
      <c r="V16" s="36" t="n"/>
      <c r="W16" s="39" t="n"/>
      <c r="X16" s="39" t="n"/>
      <c r="Y16" s="39" t="n"/>
      <c r="Z16" s="40" t="n"/>
      <c r="AA16" s="40" t="n"/>
      <c r="AB16" s="36" t="n"/>
      <c r="AC16" s="39" t="n"/>
      <c r="AD16" s="39" t="n"/>
      <c r="AE16" s="38" t="n"/>
      <c r="AF16" s="36" t="n"/>
      <c r="AG16" s="36" t="n"/>
      <c r="AH16" s="36" t="n"/>
      <c r="AI16" s="36" t="n"/>
      <c r="AJ16" s="36" t="n"/>
      <c r="AK16" s="36" t="n"/>
      <c r="AL16" s="36" t="n"/>
      <c r="AM16" s="35">
        <f>IF(NOT(COUNTA(A16:AL16)&gt;0),"",IF(TEXTJOIN(", ",TRUE,IF(B16="","Название",""),IF(C16="","Тип недвижимости",""),IF(D16="","Страна",""),IF(E16="","Город",""),IF(F16="","Улица",""),IF(I16="","Валюта",""),IF(OR(AE16="",AE16&lt;1),"Хотя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земли",""),IF(OR(W16="",W16&lt;=0),"Продать сейчас",""),IF(OR(X16="",X16&lt;=0),"Минимальная цена продажи",""),IF(OR(Y16="",Y16&lt;=0),"Стартовая ставка",""),IF(Z16="","Начало аукциона",""),IF(AA16="","Окончание аукциона",""),IF(AND(W16&lt;&gt;"",X16&lt;&gt;"",X16&gt;W16),"Минимальная цена выше «Продать сейчас»",""),IF(AND(W16&lt;&gt;"",X16&lt;&gt;"",X16&lt;=W16,X16&gt;W16*0.9),"Минимальная цена выше 90% от «Продать сейчас»",""),IF(AND(W16&lt;&gt;"",Y16&lt;&gt;"",Y16&gt;W16*0.3),"Стартовая ставка выше 30% от «Продать сейчас»",""),IF(AND(Z16&lt;&gt;"",AA16&lt;&gt;"",AA16&lt;EDATE(Z16,3)+15),"Аукцион короче 3 месяцев и 15 дней",""),IF(AND(AB16="Да",OR(AC16="",AC16&lt;=0)),"Цена тест-драйва за сутки",""),IF(OR(AJ16="",AJ16="Нет"),"Право собственности",""),IF(OR(AK16="",AK16="Нет"),"Справка об отсутствии обременений",""))="","",TEXTJOIN(", ",TRUE,IF(B16="","Название",""),IF(C16="","Тип недвижимости",""),IF(D16="","Страна",""),IF(E16="","Город",""),IF(F16="","Улица",""),IF(I16="","Валюта",""),IF(OR(AE16="",AE16&lt;1),"Хотя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земли",""),IF(OR(W16="",W16&lt;=0),"Продать сейчас",""),IF(OR(X16="",X16&lt;=0),"Минимальная цена продажи",""),IF(OR(Y16="",Y16&lt;=0),"Стартовая ставка",""),IF(Z16="","Начало аукциона",""),IF(AA16="","Окончание аукциона",""),IF(AND(W16&lt;&gt;"",X16&lt;&gt;"",X16&gt;W16),"Минимальная цена выше «Продать сейчас»",""),IF(AND(W16&lt;&gt;"",X16&lt;&gt;"",X16&lt;=W16,X16&gt;W16*0.9),"Минимальная цена выше 90% от «Продать сейчас»",""),IF(AND(W16&lt;&gt;"",Y16&lt;&gt;"",Y16&gt;W16*0.3),"Стартовая ставка выше 30% от «Продать сейчас»",""),IF(AND(Z16&lt;&gt;"",AA16&lt;&gt;"",AA16&lt;EDATE(Z16,3)+15),"Аукцион короче 3 месяцев и 15 дней",""),IF(AND(AB16="Да",OR(AC16="",AC16&lt;=0)),"Цена тест-драйва за сутки",""),IF(OR(AJ16="",AJ16="Нет"),"Право собственности",""),IF(OR(AK16="",AK16="Нет"),"Справка об отсутствии обременений",""))))</f>
        <v/>
      </c>
      <c r="AN16" s="35">
        <f>IF(NOT(COUNTA(A16:AL16)&gt;0),"",IF(TEXTJOIN(", ",TRUE,IF(AH16="","Описание",""),IF(AND(AE16&lt;&gt;"",AE16&gt;=1,AE16&lt;5),"Фото меньше 5",""),IF(AG16="","Видео",""),IF(H16="","Кадастровый номер",""),IF(AF16="","Ссылка на фото",""))="","",TEXTJOIN(", ",TRUE,IF(AH16="","Описание",""),IF(AND(AE16&lt;&gt;"",AE16&gt;=1,AE16&lt;5),"Фото меньше 5",""),IF(AG16="","Видео",""),IF(H16="","Кадастровый номер",""),IF(AF16="","Ссылка на фото",""))))</f>
        <v/>
      </c>
      <c r="AO16" s="35">
        <f>IF(NOT(COUNTA(A16:AL16)&gt;0),"",IF(AM16="","Можно публиковать","Не хватает"))</f>
        <v/>
      </c>
    </row>
    <row r="17" ht="22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 t="n"/>
      <c r="K17" s="31" t="n"/>
      <c r="L17" s="31" t="n"/>
      <c r="M17" s="32" t="n"/>
      <c r="N17" s="32" t="n"/>
      <c r="O17" s="32" t="n"/>
      <c r="P17" s="32" t="n"/>
      <c r="Q17" s="32" t="n"/>
      <c r="R17" s="32" t="n"/>
      <c r="S17" s="30" t="n"/>
      <c r="T17" s="30" t="n"/>
      <c r="U17" s="30" t="n"/>
      <c r="V17" s="30" t="n"/>
      <c r="W17" s="33" t="n"/>
      <c r="X17" s="33" t="n"/>
      <c r="Y17" s="33" t="n"/>
      <c r="Z17" s="34" t="n"/>
      <c r="AA17" s="34" t="n"/>
      <c r="AB17" s="30" t="n"/>
      <c r="AC17" s="33" t="n"/>
      <c r="AD17" s="33" t="n"/>
      <c r="AE17" s="32" t="n"/>
      <c r="AF17" s="30" t="n"/>
      <c r="AG17" s="30" t="n"/>
      <c r="AH17" s="30" t="n"/>
      <c r="AI17" s="30" t="n"/>
      <c r="AJ17" s="30" t="n"/>
      <c r="AK17" s="30" t="n"/>
      <c r="AL17" s="30" t="n"/>
      <c r="AM17" s="35">
        <f>IF(NOT(COUNTA(A17:AL17)&gt;0),"",IF(TEXTJOIN(", ",TRUE,IF(B17="","Название",""),IF(C17="","Тип недвижимости",""),IF(D17="","Страна",""),IF(E17="","Город",""),IF(F17="","Улица",""),IF(I17="","Валюта",""),IF(OR(AE17="",AE17&lt;1),"Хотя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земли",""),IF(OR(W17="",W17&lt;=0),"Продать сейчас",""),IF(OR(X17="",X17&lt;=0),"Минимальная цена продажи",""),IF(OR(Y17="",Y17&lt;=0),"Стартовая ставка",""),IF(Z17="","Начало аукциона",""),IF(AA17="","Окончание аукциона",""),IF(AND(W17&lt;&gt;"",X17&lt;&gt;"",X17&gt;W17),"Минимальная цена выше «Продать сейчас»",""),IF(AND(W17&lt;&gt;"",X17&lt;&gt;"",X17&lt;=W17,X17&gt;W17*0.9),"Минимальная цена выше 90% от «Продать сейчас»",""),IF(AND(W17&lt;&gt;"",Y17&lt;&gt;"",Y17&gt;W17*0.3),"Стартовая ставка выше 30% от «Продать сейчас»",""),IF(AND(Z17&lt;&gt;"",AA17&lt;&gt;"",AA17&lt;EDATE(Z17,3)+15),"Аукцион короче 3 месяцев и 15 дней",""),IF(AND(AB17="Да",OR(AC17="",AC17&lt;=0)),"Цена тест-драйва за сутки",""),IF(OR(AJ17="",AJ17="Нет"),"Право собственности",""),IF(OR(AK17="",AK17="Нет"),"Справка об отсутствии обременений",""))="","",TEXTJOIN(", ",TRUE,IF(B17="","Название",""),IF(C17="","Тип недвижимости",""),IF(D17="","Страна",""),IF(E17="","Город",""),IF(F17="","Улица",""),IF(I17="","Валюта",""),IF(OR(AE17="",AE17&lt;1),"Хотя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земли",""),IF(OR(W17="",W17&lt;=0),"Продать сейчас",""),IF(OR(X17="",X17&lt;=0),"Минимальная цена продажи",""),IF(OR(Y17="",Y17&lt;=0),"Стартовая ставка",""),IF(Z17="","Начало аукциона",""),IF(AA17="","Окончание аукциона",""),IF(AND(W17&lt;&gt;"",X17&lt;&gt;"",X17&gt;W17),"Минимальная цена выше «Продать сейчас»",""),IF(AND(W17&lt;&gt;"",X17&lt;&gt;"",X17&lt;=W17,X17&gt;W17*0.9),"Минимальная цена выше 90% от «Продать сейчас»",""),IF(AND(W17&lt;&gt;"",Y17&lt;&gt;"",Y17&gt;W17*0.3),"Стартовая ставка выше 30% от «Продать сейчас»",""),IF(AND(Z17&lt;&gt;"",AA17&lt;&gt;"",AA17&lt;EDATE(Z17,3)+15),"Аукцион короче 3 месяцев и 15 дней",""),IF(AND(AB17="Да",OR(AC17="",AC17&lt;=0)),"Цена тест-драйва за сутки",""),IF(OR(AJ17="",AJ17="Нет"),"Право собственности",""),IF(OR(AK17="",AK17="Нет"),"Справка об отсутствии обременений",""))))</f>
        <v/>
      </c>
      <c r="AN17" s="35">
        <f>IF(NOT(COUNTA(A17:AL17)&gt;0),"",IF(TEXTJOIN(", ",TRUE,IF(AH17="","Описание",""),IF(AND(AE17&lt;&gt;"",AE17&gt;=1,AE17&lt;5),"Фото меньше 5",""),IF(AG17="","Видео",""),IF(H17="","Кадастровый номер",""),IF(AF17="","Ссылка на фото",""))="","",TEXTJOIN(", ",TRUE,IF(AH17="","Описание",""),IF(AND(AE17&lt;&gt;"",AE17&gt;=1,AE17&lt;5),"Фото меньше 5",""),IF(AG17="","Видео",""),IF(H17="","Кадастровый номер",""),IF(AF17="","Ссылка на фото",""))))</f>
        <v/>
      </c>
      <c r="AO17" s="35">
        <f>IF(NOT(COUNTA(A17:AL17)&gt;0),"",IF(AM17="","Можно публиковать","Не хватает"))</f>
        <v/>
      </c>
    </row>
    <row r="18" ht="22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7" t="n"/>
      <c r="K18" s="37" t="n"/>
      <c r="L18" s="37" t="n"/>
      <c r="M18" s="38" t="n"/>
      <c r="N18" s="38" t="n"/>
      <c r="O18" s="38" t="n"/>
      <c r="P18" s="38" t="n"/>
      <c r="Q18" s="38" t="n"/>
      <c r="R18" s="38" t="n"/>
      <c r="S18" s="36" t="n"/>
      <c r="T18" s="36" t="n"/>
      <c r="U18" s="36" t="n"/>
      <c r="V18" s="36" t="n"/>
      <c r="W18" s="39" t="n"/>
      <c r="X18" s="39" t="n"/>
      <c r="Y18" s="39" t="n"/>
      <c r="Z18" s="40" t="n"/>
      <c r="AA18" s="40" t="n"/>
      <c r="AB18" s="36" t="n"/>
      <c r="AC18" s="39" t="n"/>
      <c r="AD18" s="39" t="n"/>
      <c r="AE18" s="38" t="n"/>
      <c r="AF18" s="36" t="n"/>
      <c r="AG18" s="36" t="n"/>
      <c r="AH18" s="36" t="n"/>
      <c r="AI18" s="36" t="n"/>
      <c r="AJ18" s="36" t="n"/>
      <c r="AK18" s="36" t="n"/>
      <c r="AL18" s="36" t="n"/>
      <c r="AM18" s="35">
        <f>IF(NOT(COUNTA(A18:AL18)&gt;0),"",IF(TEXTJOIN(", ",TRUE,IF(B18="","Название",""),IF(C18="","Тип недвижимости",""),IF(D18="","Страна",""),IF(E18="","Город",""),IF(F18="","Улица",""),IF(I18="","Валюта",""),IF(OR(AE18="",AE18&lt;1),"Хотя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земли",""),IF(OR(W18="",W18&lt;=0),"Продать сейчас",""),IF(OR(X18="",X18&lt;=0),"Минимальная цена продажи",""),IF(OR(Y18="",Y18&lt;=0),"Стартовая ставка",""),IF(Z18="","Начало аукциона",""),IF(AA18="","Окончание аукциона",""),IF(AND(W18&lt;&gt;"",X18&lt;&gt;"",X18&gt;W18),"Минимальная цена выше «Продать сейчас»",""),IF(AND(W18&lt;&gt;"",X18&lt;&gt;"",X18&lt;=W18,X18&gt;W18*0.9),"Минимальная цена выше 90% от «Продать сейчас»",""),IF(AND(W18&lt;&gt;"",Y18&lt;&gt;"",Y18&gt;W18*0.3),"Стартовая ставка выше 30% от «Продать сейчас»",""),IF(AND(Z18&lt;&gt;"",AA18&lt;&gt;"",AA18&lt;EDATE(Z18,3)+15),"Аукцион короче 3 месяцев и 15 дней",""),IF(AND(AB18="Да",OR(AC18="",AC18&lt;=0)),"Цена тест-драйва за сутки",""),IF(OR(AJ18="",AJ18="Нет"),"Право собственности",""),IF(OR(AK18="",AK18="Нет"),"Справка об отсутствии обременений",""))="","",TEXTJOIN(", ",TRUE,IF(B18="","Название",""),IF(C18="","Тип недвижимости",""),IF(D18="","Страна",""),IF(E18="","Город",""),IF(F18="","Улица",""),IF(I18="","Валюта",""),IF(OR(AE18="",AE18&lt;1),"Хотя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земли",""),IF(OR(W18="",W18&lt;=0),"Продать сейчас",""),IF(OR(X18="",X18&lt;=0),"Минимальная цена продажи",""),IF(OR(Y18="",Y18&lt;=0),"Стартовая ставка",""),IF(Z18="","Начало аукциона",""),IF(AA18="","Окончание аукциона",""),IF(AND(W18&lt;&gt;"",X18&lt;&gt;"",X18&gt;W18),"Минимальная цена выше «Продать сейчас»",""),IF(AND(W18&lt;&gt;"",X18&lt;&gt;"",X18&lt;=W18,X18&gt;W18*0.9),"Минимальная цена выше 90% от «Продать сейчас»",""),IF(AND(W18&lt;&gt;"",Y18&lt;&gt;"",Y18&gt;W18*0.3),"Стартовая ставка выше 30% от «Продать сейчас»",""),IF(AND(Z18&lt;&gt;"",AA18&lt;&gt;"",AA18&lt;EDATE(Z18,3)+15),"Аукцион короче 3 месяцев и 15 дней",""),IF(AND(AB18="Да",OR(AC18="",AC18&lt;=0)),"Цена тест-драйва за сутки",""),IF(OR(AJ18="",AJ18="Нет"),"Право собственности",""),IF(OR(AK18="",AK18="Нет"),"Справка об отсутствии обременений",""))))</f>
        <v/>
      </c>
      <c r="AN18" s="35">
        <f>IF(NOT(COUNTA(A18:AL18)&gt;0),"",IF(TEXTJOIN(", ",TRUE,IF(AH18="","Описание",""),IF(AND(AE18&lt;&gt;"",AE18&gt;=1,AE18&lt;5),"Фото меньше 5",""),IF(AG18="","Видео",""),IF(H18="","Кадастровый номер",""),IF(AF18="","Ссылка на фото",""))="","",TEXTJOIN(", ",TRUE,IF(AH18="","Описание",""),IF(AND(AE18&lt;&gt;"",AE18&gt;=1,AE18&lt;5),"Фото меньше 5",""),IF(AG18="","Видео",""),IF(H18="","Кадастровый номер",""),IF(AF18="","Ссылка на фото",""))))</f>
        <v/>
      </c>
      <c r="AO18" s="35">
        <f>IF(NOT(COUNTA(A18:AL18)&gt;0),"",IF(AM18="","Можно публиковать","Не хватает"))</f>
        <v/>
      </c>
    </row>
    <row r="19" ht="22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  <c r="K19" s="31" t="n"/>
      <c r="L19" s="31" t="n"/>
      <c r="M19" s="32" t="n"/>
      <c r="N19" s="32" t="n"/>
      <c r="O19" s="32" t="n"/>
      <c r="P19" s="32" t="n"/>
      <c r="Q19" s="32" t="n"/>
      <c r="R19" s="32" t="n"/>
      <c r="S19" s="30" t="n"/>
      <c r="T19" s="30" t="n"/>
      <c r="U19" s="30" t="n"/>
      <c r="V19" s="30" t="n"/>
      <c r="W19" s="33" t="n"/>
      <c r="X19" s="33" t="n"/>
      <c r="Y19" s="33" t="n"/>
      <c r="Z19" s="34" t="n"/>
      <c r="AA19" s="34" t="n"/>
      <c r="AB19" s="30" t="n"/>
      <c r="AC19" s="33" t="n"/>
      <c r="AD19" s="33" t="n"/>
      <c r="AE19" s="32" t="n"/>
      <c r="AF19" s="30" t="n"/>
      <c r="AG19" s="30" t="n"/>
      <c r="AH19" s="30" t="n"/>
      <c r="AI19" s="30" t="n"/>
      <c r="AJ19" s="30" t="n"/>
      <c r="AK19" s="30" t="n"/>
      <c r="AL19" s="30" t="n"/>
      <c r="AM19" s="35">
        <f>IF(NOT(COUNTA(A19:AL19)&gt;0),"",IF(TEXTJOIN(", ",TRUE,IF(B19="","Название",""),IF(C19="","Тип недвижимости",""),IF(D19="","Страна",""),IF(E19="","Город",""),IF(F19="","Улица",""),IF(I19="","Валюта",""),IF(OR(AE19="",AE19&lt;1),"Хотя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земли",""),IF(OR(W19="",W19&lt;=0),"Продать сейчас",""),IF(OR(X19="",X19&lt;=0),"Минимальная цена продажи",""),IF(OR(Y19="",Y19&lt;=0),"Стартовая ставка",""),IF(Z19="","Начало аукциона",""),IF(AA19="","Окончание аукциона",""),IF(AND(W19&lt;&gt;"",X19&lt;&gt;"",X19&gt;W19),"Минимальная цена выше «Продать сейчас»",""),IF(AND(W19&lt;&gt;"",X19&lt;&gt;"",X19&lt;=W19,X19&gt;W19*0.9),"Минимальная цена выше 90% от «Продать сейчас»",""),IF(AND(W19&lt;&gt;"",Y19&lt;&gt;"",Y19&gt;W19*0.3),"Стартовая ставка выше 30% от «Продать сейчас»",""),IF(AND(Z19&lt;&gt;"",AA19&lt;&gt;"",AA19&lt;EDATE(Z19,3)+15),"Аукцион короче 3 месяцев и 15 дней",""),IF(AND(AB19="Да",OR(AC19="",AC19&lt;=0)),"Цена тест-драйва за сутки",""),IF(OR(AJ19="",AJ19="Нет"),"Право собственности",""),IF(OR(AK19="",AK19="Нет"),"Справка об отсутствии обременений",""))="","",TEXTJOIN(", ",TRUE,IF(B19="","Название",""),IF(C19="","Тип недвижимости",""),IF(D19="","Страна",""),IF(E19="","Город",""),IF(F19="","Улица",""),IF(I19="","Валюта",""),IF(OR(AE19="",AE19&lt;1),"Хотя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земли",""),IF(OR(W19="",W19&lt;=0),"Продать сейчас",""),IF(OR(X19="",X19&lt;=0),"Минимальная цена продажи",""),IF(OR(Y19="",Y19&lt;=0),"Стартовая ставка",""),IF(Z19="","Начало аукциона",""),IF(AA19="","Окончание аукциона",""),IF(AND(W19&lt;&gt;"",X19&lt;&gt;"",X19&gt;W19),"Минимальная цена выше «Продать сейчас»",""),IF(AND(W19&lt;&gt;"",X19&lt;&gt;"",X19&lt;=W19,X19&gt;W19*0.9),"Минимальная цена выше 90% от «Продать сейчас»",""),IF(AND(W19&lt;&gt;"",Y19&lt;&gt;"",Y19&gt;W19*0.3),"Стартовая ставка выше 30% от «Продать сейчас»",""),IF(AND(Z19&lt;&gt;"",AA19&lt;&gt;"",AA19&lt;EDATE(Z19,3)+15),"Аукцион короче 3 месяцев и 15 дней",""),IF(AND(AB19="Да",OR(AC19="",AC19&lt;=0)),"Цена тест-драйва за сутки",""),IF(OR(AJ19="",AJ19="Нет"),"Право собственности",""),IF(OR(AK19="",AK19="Нет"),"Справка об отсутствии обременений",""))))</f>
        <v/>
      </c>
      <c r="AN19" s="35">
        <f>IF(NOT(COUNTA(A19:AL19)&gt;0),"",IF(TEXTJOIN(", ",TRUE,IF(AH19="","Описание",""),IF(AND(AE19&lt;&gt;"",AE19&gt;=1,AE19&lt;5),"Фото меньше 5",""),IF(AG19="","Видео",""),IF(H19="","Кадастровый номер",""),IF(AF19="","Ссылка на фото",""))="","",TEXTJOIN(", ",TRUE,IF(AH19="","Описание",""),IF(AND(AE19&lt;&gt;"",AE19&gt;=1,AE19&lt;5),"Фото меньше 5",""),IF(AG19="","Видео",""),IF(H19="","Кадастровый номер",""),IF(AF19="","Ссылка на фото",""))))</f>
        <v/>
      </c>
      <c r="AO19" s="35">
        <f>IF(NOT(COUNTA(A19:AL19)&gt;0),"",IF(AM19="","Можно публиковать","Не хватает"))</f>
        <v/>
      </c>
    </row>
    <row r="20" ht="22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7" t="n"/>
      <c r="K20" s="37" t="n"/>
      <c r="L20" s="37" t="n"/>
      <c r="M20" s="38" t="n"/>
      <c r="N20" s="38" t="n"/>
      <c r="O20" s="38" t="n"/>
      <c r="P20" s="38" t="n"/>
      <c r="Q20" s="38" t="n"/>
      <c r="R20" s="38" t="n"/>
      <c r="S20" s="36" t="n"/>
      <c r="T20" s="36" t="n"/>
      <c r="U20" s="36" t="n"/>
      <c r="V20" s="36" t="n"/>
      <c r="W20" s="39" t="n"/>
      <c r="X20" s="39" t="n"/>
      <c r="Y20" s="39" t="n"/>
      <c r="Z20" s="40" t="n"/>
      <c r="AA20" s="40" t="n"/>
      <c r="AB20" s="36" t="n"/>
      <c r="AC20" s="39" t="n"/>
      <c r="AD20" s="39" t="n"/>
      <c r="AE20" s="38" t="n"/>
      <c r="AF20" s="36" t="n"/>
      <c r="AG20" s="36" t="n"/>
      <c r="AH20" s="36" t="n"/>
      <c r="AI20" s="36" t="n"/>
      <c r="AJ20" s="36" t="n"/>
      <c r="AK20" s="36" t="n"/>
      <c r="AL20" s="36" t="n"/>
      <c r="AM20" s="35">
        <f>IF(NOT(COUNTA(A20:AL20)&gt;0),"",IF(TEXTJOIN(", ",TRUE,IF(B20="","Название",""),IF(C20="","Тип недвижимости",""),IF(D20="","Страна",""),IF(E20="","Город",""),IF(F20="","Улица",""),IF(I20="","Валюта",""),IF(OR(AE20="",AE20&lt;1),"Хотя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земли",""),IF(OR(W20="",W20&lt;=0),"Продать сейчас",""),IF(OR(X20="",X20&lt;=0),"Минимальная цена продажи",""),IF(OR(Y20="",Y20&lt;=0),"Стартовая ставка",""),IF(Z20="","Начало аукциона",""),IF(AA20="","Окончание аукциона",""),IF(AND(W20&lt;&gt;"",X20&lt;&gt;"",X20&gt;W20),"Минимальная цена выше «Продать сейчас»",""),IF(AND(W20&lt;&gt;"",X20&lt;&gt;"",X20&lt;=W20,X20&gt;W20*0.9),"Минимальная цена выше 90% от «Продать сейчас»",""),IF(AND(W20&lt;&gt;"",Y20&lt;&gt;"",Y20&gt;W20*0.3),"Стартовая ставка выше 30% от «Продать сейчас»",""),IF(AND(Z20&lt;&gt;"",AA20&lt;&gt;"",AA20&lt;EDATE(Z20,3)+15),"Аукцион короче 3 месяцев и 15 дней",""),IF(AND(AB20="Да",OR(AC20="",AC20&lt;=0)),"Цена тест-драйва за сутки",""),IF(OR(AJ20="",AJ20="Нет"),"Право собственности",""),IF(OR(AK20="",AK20="Нет"),"Справка об отсутствии обременений",""))="","",TEXTJOIN(", ",TRUE,IF(B20="","Название",""),IF(C20="","Тип недвижимости",""),IF(D20="","Страна",""),IF(E20="","Город",""),IF(F20="","Улица",""),IF(I20="","Валюта",""),IF(OR(AE20="",AE20&lt;1),"Хотя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земли",""),IF(OR(W20="",W20&lt;=0),"Продать сейчас",""),IF(OR(X20="",X20&lt;=0),"Минимальная цена продажи",""),IF(OR(Y20="",Y20&lt;=0),"Стартовая ставка",""),IF(Z20="","Начало аукциона",""),IF(AA20="","Окончание аукциона",""),IF(AND(W20&lt;&gt;"",X20&lt;&gt;"",X20&gt;W20),"Минимальная цена выше «Продать сейчас»",""),IF(AND(W20&lt;&gt;"",X20&lt;&gt;"",X20&lt;=W20,X20&gt;W20*0.9),"Минимальная цена выше 90% от «Продать сейчас»",""),IF(AND(W20&lt;&gt;"",Y20&lt;&gt;"",Y20&gt;W20*0.3),"Стартовая ставка выше 30% от «Продать сейчас»",""),IF(AND(Z20&lt;&gt;"",AA20&lt;&gt;"",AA20&lt;EDATE(Z20,3)+15),"Аукцион короче 3 месяцев и 15 дней",""),IF(AND(AB20="Да",OR(AC20="",AC20&lt;=0)),"Цена тест-драйва за сутки",""),IF(OR(AJ20="",AJ20="Нет"),"Право собственности",""),IF(OR(AK20="",AK20="Нет"),"Справка об отсутствии обременений",""))))</f>
        <v/>
      </c>
      <c r="AN20" s="35">
        <f>IF(NOT(COUNTA(A20:AL20)&gt;0),"",IF(TEXTJOIN(", ",TRUE,IF(AH20="","Описание",""),IF(AND(AE20&lt;&gt;"",AE20&gt;=1,AE20&lt;5),"Фото меньше 5",""),IF(AG20="","Видео",""),IF(H20="","Кадастровый номер",""),IF(AF20="","Ссылка на фото",""))="","",TEXTJOIN(", ",TRUE,IF(AH20="","Описание",""),IF(AND(AE20&lt;&gt;"",AE20&gt;=1,AE20&lt;5),"Фото меньше 5",""),IF(AG20="","Видео",""),IF(H20="","Кадастровый номер",""),IF(AF20="","Ссылка на фото",""))))</f>
        <v/>
      </c>
      <c r="AO20" s="35">
        <f>IF(NOT(COUNTA(A20:AL20)&gt;0),"",IF(AM20="","Можно публиковать","Не хватает"))</f>
        <v/>
      </c>
    </row>
    <row r="21" ht="2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 t="n"/>
      <c r="K21" s="31" t="n"/>
      <c r="L21" s="31" t="n"/>
      <c r="M21" s="32" t="n"/>
      <c r="N21" s="32" t="n"/>
      <c r="O21" s="32" t="n"/>
      <c r="P21" s="32" t="n"/>
      <c r="Q21" s="32" t="n"/>
      <c r="R21" s="32" t="n"/>
      <c r="S21" s="30" t="n"/>
      <c r="T21" s="30" t="n"/>
      <c r="U21" s="30" t="n"/>
      <c r="V21" s="30" t="n"/>
      <c r="W21" s="33" t="n"/>
      <c r="X21" s="33" t="n"/>
      <c r="Y21" s="33" t="n"/>
      <c r="Z21" s="34" t="n"/>
      <c r="AA21" s="34" t="n"/>
      <c r="AB21" s="30" t="n"/>
      <c r="AC21" s="33" t="n"/>
      <c r="AD21" s="33" t="n"/>
      <c r="AE21" s="32" t="n"/>
      <c r="AF21" s="30" t="n"/>
      <c r="AG21" s="30" t="n"/>
      <c r="AH21" s="30" t="n"/>
      <c r="AI21" s="30" t="n"/>
      <c r="AJ21" s="30" t="n"/>
      <c r="AK21" s="30" t="n"/>
      <c r="AL21" s="30" t="n"/>
      <c r="AM21" s="35">
        <f>IF(NOT(COUNTA(A21:AL21)&gt;0),"",IF(TEXTJOIN(", ",TRUE,IF(B21="","Название",""),IF(C21="","Тип недвижимости",""),IF(D21="","Страна",""),IF(E21="","Город",""),IF(F21="","Улица",""),IF(I21="","Валюта",""),IF(OR(AE21="",AE21&lt;1),"Хотя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земли",""),IF(OR(W21="",W21&lt;=0),"Продать сейчас",""),IF(OR(X21="",X21&lt;=0),"Минимальная цена продажи",""),IF(OR(Y21="",Y21&lt;=0),"Стартовая ставка",""),IF(Z21="","Начало аукциона",""),IF(AA21="","Окончание аукциона",""),IF(AND(W21&lt;&gt;"",X21&lt;&gt;"",X21&gt;W21),"Минимальная цена выше «Продать сейчас»",""),IF(AND(W21&lt;&gt;"",X21&lt;&gt;"",X21&lt;=W21,X21&gt;W21*0.9),"Минимальная цена выше 90% от «Продать сейчас»",""),IF(AND(W21&lt;&gt;"",Y21&lt;&gt;"",Y21&gt;W21*0.3),"Стартовая ставка выше 30% от «Продать сейчас»",""),IF(AND(Z21&lt;&gt;"",AA21&lt;&gt;"",AA21&lt;EDATE(Z21,3)+15),"Аукцион короче 3 месяцев и 15 дней",""),IF(AND(AB21="Да",OR(AC21="",AC21&lt;=0)),"Цена тест-драйва за сутки",""),IF(OR(AJ21="",AJ21="Нет"),"Право собственности",""),IF(OR(AK21="",AK21="Нет"),"Справка об отсутствии обременений",""))="","",TEXTJOIN(", ",TRUE,IF(B21="","Название",""),IF(C21="","Тип недвижимости",""),IF(D21="","Страна",""),IF(E21="","Город",""),IF(F21="","Улица",""),IF(I21="","Валюта",""),IF(OR(AE21="",AE21&lt;1),"Хотя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земли",""),IF(OR(W21="",W21&lt;=0),"Продать сейчас",""),IF(OR(X21="",X21&lt;=0),"Минимальная цена продажи",""),IF(OR(Y21="",Y21&lt;=0),"Стартовая ставка",""),IF(Z21="","Начало аукциона",""),IF(AA21="","Окончание аукциона",""),IF(AND(W21&lt;&gt;"",X21&lt;&gt;"",X21&gt;W21),"Минимальная цена выше «Продать сейчас»",""),IF(AND(W21&lt;&gt;"",X21&lt;&gt;"",X21&lt;=W21,X21&gt;W21*0.9),"Минимальная цена выше 90% от «Продать сейчас»",""),IF(AND(W21&lt;&gt;"",Y21&lt;&gt;"",Y21&gt;W21*0.3),"Стартовая ставка выше 30% от «Продать сейчас»",""),IF(AND(Z21&lt;&gt;"",AA21&lt;&gt;"",AA21&lt;EDATE(Z21,3)+15),"Аукцион короче 3 месяцев и 15 дней",""),IF(AND(AB21="Да",OR(AC21="",AC21&lt;=0)),"Цена тест-драйва за сутки",""),IF(OR(AJ21="",AJ21="Нет"),"Право собственности",""),IF(OR(AK21="",AK21="Нет"),"Справка об отсутствии обременений",""))))</f>
        <v/>
      </c>
      <c r="AN21" s="35">
        <f>IF(NOT(COUNTA(A21:AL21)&gt;0),"",IF(TEXTJOIN(", ",TRUE,IF(AH21="","Описание",""),IF(AND(AE21&lt;&gt;"",AE21&gt;=1,AE21&lt;5),"Фото меньше 5",""),IF(AG21="","Видео",""),IF(H21="","Кадастровый номер",""),IF(AF21="","Ссылка на фото",""))="","",TEXTJOIN(", ",TRUE,IF(AH21="","Описание",""),IF(AND(AE21&lt;&gt;"",AE21&gt;=1,AE21&lt;5),"Фото меньше 5",""),IF(AG21="","Видео",""),IF(H21="","Кадастровый номер",""),IF(AF21="","Ссылка на фото",""))))</f>
        <v/>
      </c>
      <c r="AO21" s="35">
        <f>IF(NOT(COUNTA(A21:AL21)&gt;0),"",IF(AM21="","Можно публиковать","Не хватает"))</f>
        <v/>
      </c>
    </row>
    <row r="22" ht="22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7" t="n"/>
      <c r="K22" s="37" t="n"/>
      <c r="L22" s="37" t="n"/>
      <c r="M22" s="38" t="n"/>
      <c r="N22" s="38" t="n"/>
      <c r="O22" s="38" t="n"/>
      <c r="P22" s="38" t="n"/>
      <c r="Q22" s="38" t="n"/>
      <c r="R22" s="38" t="n"/>
      <c r="S22" s="36" t="n"/>
      <c r="T22" s="36" t="n"/>
      <c r="U22" s="36" t="n"/>
      <c r="V22" s="36" t="n"/>
      <c r="W22" s="39" t="n"/>
      <c r="X22" s="39" t="n"/>
      <c r="Y22" s="39" t="n"/>
      <c r="Z22" s="40" t="n"/>
      <c r="AA22" s="40" t="n"/>
      <c r="AB22" s="36" t="n"/>
      <c r="AC22" s="39" t="n"/>
      <c r="AD22" s="39" t="n"/>
      <c r="AE22" s="38" t="n"/>
      <c r="AF22" s="36" t="n"/>
      <c r="AG22" s="36" t="n"/>
      <c r="AH22" s="36" t="n"/>
      <c r="AI22" s="36" t="n"/>
      <c r="AJ22" s="36" t="n"/>
      <c r="AK22" s="36" t="n"/>
      <c r="AL22" s="36" t="n"/>
      <c r="AM22" s="35">
        <f>IF(NOT(COUNTA(A22:AL22)&gt;0),"",IF(TEXTJOIN(", ",TRUE,IF(B22="","Название",""),IF(C22="","Тип недвижимости",""),IF(D22="","Страна",""),IF(E22="","Город",""),IF(F22="","Улица",""),IF(I22="","Валюта",""),IF(OR(AE22="",AE22&lt;1),"Хотя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земли",""),IF(OR(W22="",W22&lt;=0),"Продать сейчас",""),IF(OR(X22="",X22&lt;=0),"Минимальная цена продажи",""),IF(OR(Y22="",Y22&lt;=0),"Стартовая ставка",""),IF(Z22="","Начало аукциона",""),IF(AA22="","Окончание аукциона",""),IF(AND(W22&lt;&gt;"",X22&lt;&gt;"",X22&gt;W22),"Минимальная цена выше «Продать сейчас»",""),IF(AND(W22&lt;&gt;"",X22&lt;&gt;"",X22&lt;=W22,X22&gt;W22*0.9),"Минимальная цена выше 90% от «Продать сейчас»",""),IF(AND(W22&lt;&gt;"",Y22&lt;&gt;"",Y22&gt;W22*0.3),"Стартовая ставка выше 30% от «Продать сейчас»",""),IF(AND(Z22&lt;&gt;"",AA22&lt;&gt;"",AA22&lt;EDATE(Z22,3)+15),"Аукцион короче 3 месяцев и 15 дней",""),IF(AND(AB22="Да",OR(AC22="",AC22&lt;=0)),"Цена тест-драйва за сутки",""),IF(OR(AJ22="",AJ22="Нет"),"Право собственности",""),IF(OR(AK22="",AK22="Нет"),"Справка об отсутствии обременений",""))="","",TEXTJOIN(", ",TRUE,IF(B22="","Название",""),IF(C22="","Тип недвижимости",""),IF(D22="","Страна",""),IF(E22="","Город",""),IF(F22="","Улица",""),IF(I22="","Валюта",""),IF(OR(AE22="",AE22&lt;1),"Хотя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земли",""),IF(OR(W22="",W22&lt;=0),"Продать сейчас",""),IF(OR(X22="",X22&lt;=0),"Минимальная цена продажи",""),IF(OR(Y22="",Y22&lt;=0),"Стартовая ставка",""),IF(Z22="","Начало аукциона",""),IF(AA22="","Окончание аукциона",""),IF(AND(W22&lt;&gt;"",X22&lt;&gt;"",X22&gt;W22),"Минимальная цена выше «Продать сейчас»",""),IF(AND(W22&lt;&gt;"",X22&lt;&gt;"",X22&lt;=W22,X22&gt;W22*0.9),"Минимальная цена выше 90% от «Продать сейчас»",""),IF(AND(W22&lt;&gt;"",Y22&lt;&gt;"",Y22&gt;W22*0.3),"Стартовая ставка выше 30% от «Продать сейчас»",""),IF(AND(Z22&lt;&gt;"",AA22&lt;&gt;"",AA22&lt;EDATE(Z22,3)+15),"Аукцион короче 3 месяцев и 15 дней",""),IF(AND(AB22="Да",OR(AC22="",AC22&lt;=0)),"Цена тест-драйва за сутки",""),IF(OR(AJ22="",AJ22="Нет"),"Право собственности",""),IF(OR(AK22="",AK22="Нет"),"Справка об отсутствии обременений",""))))</f>
        <v/>
      </c>
      <c r="AN22" s="35">
        <f>IF(NOT(COUNTA(A22:AL22)&gt;0),"",IF(TEXTJOIN(", ",TRUE,IF(AH22="","Описание",""),IF(AND(AE22&lt;&gt;"",AE22&gt;=1,AE22&lt;5),"Фото меньше 5",""),IF(AG22="","Видео",""),IF(H22="","Кадастровый номер",""),IF(AF22="","Ссылка на фото",""))="","",TEXTJOIN(", ",TRUE,IF(AH22="","Описание",""),IF(AND(AE22&lt;&gt;"",AE22&gt;=1,AE22&lt;5),"Фото меньше 5",""),IF(AG22="","Видео",""),IF(H22="","Кадастровый номер",""),IF(AF22="","Ссылка на фото",""))))</f>
        <v/>
      </c>
      <c r="AO22" s="35">
        <f>IF(NOT(COUNTA(A22:AL22)&gt;0),"",IF(AM22="","Можно публиковать","Не хватает"))</f>
        <v/>
      </c>
    </row>
    <row r="23" ht="2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 t="n"/>
      <c r="K23" s="31" t="n"/>
      <c r="L23" s="31" t="n"/>
      <c r="M23" s="32" t="n"/>
      <c r="N23" s="32" t="n"/>
      <c r="O23" s="32" t="n"/>
      <c r="P23" s="32" t="n"/>
      <c r="Q23" s="32" t="n"/>
      <c r="R23" s="32" t="n"/>
      <c r="S23" s="30" t="n"/>
      <c r="T23" s="30" t="n"/>
      <c r="U23" s="30" t="n"/>
      <c r="V23" s="30" t="n"/>
      <c r="W23" s="33" t="n"/>
      <c r="X23" s="33" t="n"/>
      <c r="Y23" s="33" t="n"/>
      <c r="Z23" s="34" t="n"/>
      <c r="AA23" s="34" t="n"/>
      <c r="AB23" s="30" t="n"/>
      <c r="AC23" s="33" t="n"/>
      <c r="AD23" s="33" t="n"/>
      <c r="AE23" s="32" t="n"/>
      <c r="AF23" s="30" t="n"/>
      <c r="AG23" s="30" t="n"/>
      <c r="AH23" s="30" t="n"/>
      <c r="AI23" s="30" t="n"/>
      <c r="AJ23" s="30" t="n"/>
      <c r="AK23" s="30" t="n"/>
      <c r="AL23" s="30" t="n"/>
      <c r="AM23" s="35">
        <f>IF(NOT(COUNTA(A23:AL23)&gt;0),"",IF(TEXTJOIN(", ",TRUE,IF(B23="","Название",""),IF(C23="","Тип недвижимости",""),IF(D23="","Страна",""),IF(E23="","Город",""),IF(F23="","Улица",""),IF(I23="","Валюта",""),IF(OR(AE23="",AE23&lt;1),"Хотя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земли",""),IF(OR(W23="",W23&lt;=0),"Продать сейчас",""),IF(OR(X23="",X23&lt;=0),"Минимальная цена продажи",""),IF(OR(Y23="",Y23&lt;=0),"Стартовая ставка",""),IF(Z23="","Начало аукциона",""),IF(AA23="","Окончание аукциона",""),IF(AND(W23&lt;&gt;"",X23&lt;&gt;"",X23&gt;W23),"Минимальная цена выше «Продать сейчас»",""),IF(AND(W23&lt;&gt;"",X23&lt;&gt;"",X23&lt;=W23,X23&gt;W23*0.9),"Минимальная цена выше 90% от «Продать сейчас»",""),IF(AND(W23&lt;&gt;"",Y23&lt;&gt;"",Y23&gt;W23*0.3),"Стартовая ставка выше 30% от «Продать сейчас»",""),IF(AND(Z23&lt;&gt;"",AA23&lt;&gt;"",AA23&lt;EDATE(Z23,3)+15),"Аукцион короче 3 месяцев и 15 дней",""),IF(AND(AB23="Да",OR(AC23="",AC23&lt;=0)),"Цена тест-драйва за сутки",""),IF(OR(AJ23="",AJ23="Нет"),"Право собственности",""),IF(OR(AK23="",AK23="Нет"),"Справка об отсутствии обременений",""))="","",TEXTJOIN(", ",TRUE,IF(B23="","Название",""),IF(C23="","Тип недвижимости",""),IF(D23="","Страна",""),IF(E23="","Город",""),IF(F23="","Улица",""),IF(I23="","Валюта",""),IF(OR(AE23="",AE23&lt;1),"Хотя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земли",""),IF(OR(W23="",W23&lt;=0),"Продать сейчас",""),IF(OR(X23="",X23&lt;=0),"Минимальная цена продажи",""),IF(OR(Y23="",Y23&lt;=0),"Стартовая ставка",""),IF(Z23="","Начало аукциона",""),IF(AA23="","Окончание аукциона",""),IF(AND(W23&lt;&gt;"",X23&lt;&gt;"",X23&gt;W23),"Минимальная цена выше «Продать сейчас»",""),IF(AND(W23&lt;&gt;"",X23&lt;&gt;"",X23&lt;=W23,X23&gt;W23*0.9),"Минимальная цена выше 90% от «Продать сейчас»",""),IF(AND(W23&lt;&gt;"",Y23&lt;&gt;"",Y23&gt;W23*0.3),"Стартовая ставка выше 30% от «Продать сейчас»",""),IF(AND(Z23&lt;&gt;"",AA23&lt;&gt;"",AA23&lt;EDATE(Z23,3)+15),"Аукцион короче 3 месяцев и 15 дней",""),IF(AND(AB23="Да",OR(AC23="",AC23&lt;=0)),"Цена тест-драйва за сутки",""),IF(OR(AJ23="",AJ23="Нет"),"Право собственности",""),IF(OR(AK23="",AK23="Нет"),"Справка об отсутствии обременений",""))))</f>
        <v/>
      </c>
      <c r="AN23" s="35">
        <f>IF(NOT(COUNTA(A23:AL23)&gt;0),"",IF(TEXTJOIN(", ",TRUE,IF(AH23="","Описание",""),IF(AND(AE23&lt;&gt;"",AE23&gt;=1,AE23&lt;5),"Фото меньше 5",""),IF(AG23="","Видео",""),IF(H23="","Кадастровый номер",""),IF(AF23="","Ссылка на фото",""))="","",TEXTJOIN(", ",TRUE,IF(AH23="","Описание",""),IF(AND(AE23&lt;&gt;"",AE23&gt;=1,AE23&lt;5),"Фото меньше 5",""),IF(AG23="","Видео",""),IF(H23="","Кадастровый номер",""),IF(AF23="","Ссылка на фото",""))))</f>
        <v/>
      </c>
      <c r="AO23" s="35">
        <f>IF(NOT(COUNTA(A23:AL23)&gt;0),"",IF(AM23="","Можно публиковать","Не хватает"))</f>
        <v/>
      </c>
    </row>
    <row r="24" ht="22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7" t="n"/>
      <c r="K24" s="37" t="n"/>
      <c r="L24" s="37" t="n"/>
      <c r="M24" s="38" t="n"/>
      <c r="N24" s="38" t="n"/>
      <c r="O24" s="38" t="n"/>
      <c r="P24" s="38" t="n"/>
      <c r="Q24" s="38" t="n"/>
      <c r="R24" s="38" t="n"/>
      <c r="S24" s="36" t="n"/>
      <c r="T24" s="36" t="n"/>
      <c r="U24" s="36" t="n"/>
      <c r="V24" s="36" t="n"/>
      <c r="W24" s="39" t="n"/>
      <c r="X24" s="39" t="n"/>
      <c r="Y24" s="39" t="n"/>
      <c r="Z24" s="40" t="n"/>
      <c r="AA24" s="40" t="n"/>
      <c r="AB24" s="36" t="n"/>
      <c r="AC24" s="39" t="n"/>
      <c r="AD24" s="39" t="n"/>
      <c r="AE24" s="38" t="n"/>
      <c r="AF24" s="36" t="n"/>
      <c r="AG24" s="36" t="n"/>
      <c r="AH24" s="36" t="n"/>
      <c r="AI24" s="36" t="n"/>
      <c r="AJ24" s="36" t="n"/>
      <c r="AK24" s="36" t="n"/>
      <c r="AL24" s="36" t="n"/>
      <c r="AM24" s="35">
        <f>IF(NOT(COUNTA(A24:AL24)&gt;0),"",IF(TEXTJOIN(", ",TRUE,IF(B24="","Название",""),IF(C24="","Тип недвижимости",""),IF(D24="","Страна",""),IF(E24="","Город",""),IF(F24="","Улица",""),IF(I24="","Валюта",""),IF(OR(AE24="",AE24&lt;1),"Хотя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земли",""),IF(OR(W24="",W24&lt;=0),"Продать сейчас",""),IF(OR(X24="",X24&lt;=0),"Минимальная цена продажи",""),IF(OR(Y24="",Y24&lt;=0),"Стартовая ставка",""),IF(Z24="","Начало аукциона",""),IF(AA24="","Окончание аукциона",""),IF(AND(W24&lt;&gt;"",X24&lt;&gt;"",X24&gt;W24),"Минимальная цена выше «Продать сейчас»",""),IF(AND(W24&lt;&gt;"",X24&lt;&gt;"",X24&lt;=W24,X24&gt;W24*0.9),"Минимальная цена выше 90% от «Продать сейчас»",""),IF(AND(W24&lt;&gt;"",Y24&lt;&gt;"",Y24&gt;W24*0.3),"Стартовая ставка выше 30% от «Продать сейчас»",""),IF(AND(Z24&lt;&gt;"",AA24&lt;&gt;"",AA24&lt;EDATE(Z24,3)+15),"Аукцион короче 3 месяцев и 15 дней",""),IF(AND(AB24="Да",OR(AC24="",AC24&lt;=0)),"Цена тест-драйва за сутки",""),IF(OR(AJ24="",AJ24="Нет"),"Право собственности",""),IF(OR(AK24="",AK24="Нет"),"Справка об отсутствии обременений",""))="","",TEXTJOIN(", ",TRUE,IF(B24="","Название",""),IF(C24="","Тип недвижимости",""),IF(D24="","Страна",""),IF(E24="","Город",""),IF(F24="","Улица",""),IF(I24="","Валюта",""),IF(OR(AE24="",AE24&lt;1),"Хотя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земли",""),IF(OR(W24="",W24&lt;=0),"Продать сейчас",""),IF(OR(X24="",X24&lt;=0),"Минимальная цена продажи",""),IF(OR(Y24="",Y24&lt;=0),"Стартовая ставка",""),IF(Z24="","Начало аукциона",""),IF(AA24="","Окончание аукциона",""),IF(AND(W24&lt;&gt;"",X24&lt;&gt;"",X24&gt;W24),"Минимальная цена выше «Продать сейчас»",""),IF(AND(W24&lt;&gt;"",X24&lt;&gt;"",X24&lt;=W24,X24&gt;W24*0.9),"Минимальная цена выше 90% от «Продать сейчас»",""),IF(AND(W24&lt;&gt;"",Y24&lt;&gt;"",Y24&gt;W24*0.3),"Стартовая ставка выше 30% от «Продать сейчас»",""),IF(AND(Z24&lt;&gt;"",AA24&lt;&gt;"",AA24&lt;EDATE(Z24,3)+15),"Аукцион короче 3 месяцев и 15 дней",""),IF(AND(AB24="Да",OR(AC24="",AC24&lt;=0)),"Цена тест-драйва за сутки",""),IF(OR(AJ24="",AJ24="Нет"),"Право собственности",""),IF(OR(AK24="",AK24="Нет"),"Справка об отсутствии обременений",""))))</f>
        <v/>
      </c>
      <c r="AN24" s="35">
        <f>IF(NOT(COUNTA(A24:AL24)&gt;0),"",IF(TEXTJOIN(", ",TRUE,IF(AH24="","Описание",""),IF(AND(AE24&lt;&gt;"",AE24&gt;=1,AE24&lt;5),"Фото меньше 5",""),IF(AG24="","Видео",""),IF(H24="","Кадастровый номер",""),IF(AF24="","Ссылка на фото",""))="","",TEXTJOIN(", ",TRUE,IF(AH24="","Описание",""),IF(AND(AE24&lt;&gt;"",AE24&gt;=1,AE24&lt;5),"Фото меньше 5",""),IF(AG24="","Видео",""),IF(H24="","Кадастровый номер",""),IF(AF24="","Ссылка на фото",""))))</f>
        <v/>
      </c>
      <c r="AO24" s="35">
        <f>IF(NOT(COUNTA(A24:AL24)&gt;0),"",IF(AM24="","Можно публиковать","Не хватает"))</f>
        <v/>
      </c>
    </row>
    <row r="25" ht="2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 t="n"/>
      <c r="K25" s="31" t="n"/>
      <c r="L25" s="31" t="n"/>
      <c r="M25" s="32" t="n"/>
      <c r="N25" s="32" t="n"/>
      <c r="O25" s="32" t="n"/>
      <c r="P25" s="32" t="n"/>
      <c r="Q25" s="32" t="n"/>
      <c r="R25" s="32" t="n"/>
      <c r="S25" s="30" t="n"/>
      <c r="T25" s="30" t="n"/>
      <c r="U25" s="30" t="n"/>
      <c r="V25" s="30" t="n"/>
      <c r="W25" s="33" t="n"/>
      <c r="X25" s="33" t="n"/>
      <c r="Y25" s="33" t="n"/>
      <c r="Z25" s="34" t="n"/>
      <c r="AA25" s="34" t="n"/>
      <c r="AB25" s="30" t="n"/>
      <c r="AC25" s="33" t="n"/>
      <c r="AD25" s="33" t="n"/>
      <c r="AE25" s="32" t="n"/>
      <c r="AF25" s="30" t="n"/>
      <c r="AG25" s="30" t="n"/>
      <c r="AH25" s="30" t="n"/>
      <c r="AI25" s="30" t="n"/>
      <c r="AJ25" s="30" t="n"/>
      <c r="AK25" s="30" t="n"/>
      <c r="AL25" s="30" t="n"/>
      <c r="AM25" s="35">
        <f>IF(NOT(COUNTA(A25:AL25)&gt;0),"",IF(TEXTJOIN(", ",TRUE,IF(B25="","Название",""),IF(C25="","Тип недвижимости",""),IF(D25="","Страна",""),IF(E25="","Город",""),IF(F25="","Улица",""),IF(I25="","Валюта",""),IF(OR(AE25="",AE25&lt;1),"Хотя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земли",""),IF(OR(W25="",W25&lt;=0),"Продать сейчас",""),IF(OR(X25="",X25&lt;=0),"Минимальная цена продажи",""),IF(OR(Y25="",Y25&lt;=0),"Стартовая ставка",""),IF(Z25="","Начало аукциона",""),IF(AA25="","Окончание аукциона",""),IF(AND(W25&lt;&gt;"",X25&lt;&gt;"",X25&gt;W25),"Минимальная цена выше «Продать сейчас»",""),IF(AND(W25&lt;&gt;"",X25&lt;&gt;"",X25&lt;=W25,X25&gt;W25*0.9),"Минимальная цена выше 90% от «Продать сейчас»",""),IF(AND(W25&lt;&gt;"",Y25&lt;&gt;"",Y25&gt;W25*0.3),"Стартовая ставка выше 30% от «Продать сейчас»",""),IF(AND(Z25&lt;&gt;"",AA25&lt;&gt;"",AA25&lt;EDATE(Z25,3)+15),"Аукцион короче 3 месяцев и 15 дней",""),IF(AND(AB25="Да",OR(AC25="",AC25&lt;=0)),"Цена тест-драйва за сутки",""),IF(OR(AJ25="",AJ25="Нет"),"Право собственности",""),IF(OR(AK25="",AK25="Нет"),"Справка об отсутствии обременений",""))="","",TEXTJOIN(", ",TRUE,IF(B25="","Название",""),IF(C25="","Тип недвижимости",""),IF(D25="","Страна",""),IF(E25="","Город",""),IF(F25="","Улица",""),IF(I25="","Валюта",""),IF(OR(AE25="",AE25&lt;1),"Хотя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земли",""),IF(OR(W25="",W25&lt;=0),"Продать сейчас",""),IF(OR(X25="",X25&lt;=0),"Минимальная цена продажи",""),IF(OR(Y25="",Y25&lt;=0),"Стартовая ставка",""),IF(Z25="","Начало аукциона",""),IF(AA25="","Окончание аукциона",""),IF(AND(W25&lt;&gt;"",X25&lt;&gt;"",X25&gt;W25),"Минимальная цена выше «Продать сейчас»",""),IF(AND(W25&lt;&gt;"",X25&lt;&gt;"",X25&lt;=W25,X25&gt;W25*0.9),"Минимальная цена выше 90% от «Продать сейчас»",""),IF(AND(W25&lt;&gt;"",Y25&lt;&gt;"",Y25&gt;W25*0.3),"Стартовая ставка выше 30% от «Продать сейчас»",""),IF(AND(Z25&lt;&gt;"",AA25&lt;&gt;"",AA25&lt;EDATE(Z25,3)+15),"Аукцион короче 3 месяцев и 15 дней",""),IF(AND(AB25="Да",OR(AC25="",AC25&lt;=0)),"Цена тест-драйва за сутки",""),IF(OR(AJ25="",AJ25="Нет"),"Право собственности",""),IF(OR(AK25="",AK25="Нет"),"Справка об отсутствии обременений",""))))</f>
        <v/>
      </c>
      <c r="AN25" s="35">
        <f>IF(NOT(COUNTA(A25:AL25)&gt;0),"",IF(TEXTJOIN(", ",TRUE,IF(AH25="","Описание",""),IF(AND(AE25&lt;&gt;"",AE25&gt;=1,AE25&lt;5),"Фото меньше 5",""),IF(AG25="","Видео",""),IF(H25="","Кадастровый номер",""),IF(AF25="","Ссылка на фото",""))="","",TEXTJOIN(", ",TRUE,IF(AH25="","Описание",""),IF(AND(AE25&lt;&gt;"",AE25&gt;=1,AE25&lt;5),"Фото меньше 5",""),IF(AG25="","Видео",""),IF(H25="","Кадастровый номер",""),IF(AF25="","Ссылка на фото",""))))</f>
        <v/>
      </c>
      <c r="AO25" s="35">
        <f>IF(NOT(COUNTA(A25:AL25)&gt;0),"",IF(AM25="","Можно публиковать","Не хватает"))</f>
        <v/>
      </c>
    </row>
    <row r="26" ht="22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7" t="n"/>
      <c r="K26" s="37" t="n"/>
      <c r="L26" s="37" t="n"/>
      <c r="M26" s="38" t="n"/>
      <c r="N26" s="38" t="n"/>
      <c r="O26" s="38" t="n"/>
      <c r="P26" s="38" t="n"/>
      <c r="Q26" s="38" t="n"/>
      <c r="R26" s="38" t="n"/>
      <c r="S26" s="36" t="n"/>
      <c r="T26" s="36" t="n"/>
      <c r="U26" s="36" t="n"/>
      <c r="V26" s="36" t="n"/>
      <c r="W26" s="39" t="n"/>
      <c r="X26" s="39" t="n"/>
      <c r="Y26" s="39" t="n"/>
      <c r="Z26" s="40" t="n"/>
      <c r="AA26" s="40" t="n"/>
      <c r="AB26" s="36" t="n"/>
      <c r="AC26" s="39" t="n"/>
      <c r="AD26" s="39" t="n"/>
      <c r="AE26" s="38" t="n"/>
      <c r="AF26" s="36" t="n"/>
      <c r="AG26" s="36" t="n"/>
      <c r="AH26" s="36" t="n"/>
      <c r="AI26" s="36" t="n"/>
      <c r="AJ26" s="36" t="n"/>
      <c r="AK26" s="36" t="n"/>
      <c r="AL26" s="36" t="n"/>
      <c r="AM26" s="35">
        <f>IF(NOT(COUNTA(A26:AL26)&gt;0),"",IF(TEXTJOIN(", ",TRUE,IF(B26="","Название",""),IF(C26="","Тип недвижимости",""),IF(D26="","Страна",""),IF(E26="","Город",""),IF(F26="","Улица",""),IF(I26="","Валюта",""),IF(OR(AE26="",AE26&lt;1),"Хотя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земли",""),IF(OR(W26="",W26&lt;=0),"Продать сейчас",""),IF(OR(X26="",X26&lt;=0),"Минимальная цена продажи",""),IF(OR(Y26="",Y26&lt;=0),"Стартовая ставка",""),IF(Z26="","Начало аукциона",""),IF(AA26="","Окончание аукциона",""),IF(AND(W26&lt;&gt;"",X26&lt;&gt;"",X26&gt;W26),"Минимальная цена выше «Продать сейчас»",""),IF(AND(W26&lt;&gt;"",X26&lt;&gt;"",X26&lt;=W26,X26&gt;W26*0.9),"Минимальная цена выше 90% от «Продать сейчас»",""),IF(AND(W26&lt;&gt;"",Y26&lt;&gt;"",Y26&gt;W26*0.3),"Стартовая ставка выше 30% от «Продать сейчас»",""),IF(AND(Z26&lt;&gt;"",AA26&lt;&gt;"",AA26&lt;EDATE(Z26,3)+15),"Аукцион короче 3 месяцев и 15 дней",""),IF(AND(AB26="Да",OR(AC26="",AC26&lt;=0)),"Цена тест-драйва за сутки",""),IF(OR(AJ26="",AJ26="Нет"),"Право собственности",""),IF(OR(AK26="",AK26="Нет"),"Справка об отсутствии обременений",""))="","",TEXTJOIN(", ",TRUE,IF(B26="","Название",""),IF(C26="","Тип недвижимости",""),IF(D26="","Страна",""),IF(E26="","Город",""),IF(F26="","Улица",""),IF(I26="","Валюта",""),IF(OR(AE26="",AE26&lt;1),"Хотя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земли",""),IF(OR(W26="",W26&lt;=0),"Продать сейчас",""),IF(OR(X26="",X26&lt;=0),"Минимальная цена продажи",""),IF(OR(Y26="",Y26&lt;=0),"Стартовая ставка",""),IF(Z26="","Начало аукциона",""),IF(AA26="","Окончание аукциона",""),IF(AND(W26&lt;&gt;"",X26&lt;&gt;"",X26&gt;W26),"Минимальная цена выше «Продать сейчас»",""),IF(AND(W26&lt;&gt;"",X26&lt;&gt;"",X26&lt;=W26,X26&gt;W26*0.9),"Минимальная цена выше 90% от «Продать сейчас»",""),IF(AND(W26&lt;&gt;"",Y26&lt;&gt;"",Y26&gt;W26*0.3),"Стартовая ставка выше 30% от «Продать сейчас»",""),IF(AND(Z26&lt;&gt;"",AA26&lt;&gt;"",AA26&lt;EDATE(Z26,3)+15),"Аукцион короче 3 месяцев и 15 дней",""),IF(AND(AB26="Да",OR(AC26="",AC26&lt;=0)),"Цена тест-драйва за сутки",""),IF(OR(AJ26="",AJ26="Нет"),"Право собственности",""),IF(OR(AK26="",AK26="Нет"),"Справка об отсутствии обременений",""))))</f>
        <v/>
      </c>
      <c r="AN26" s="35">
        <f>IF(NOT(COUNTA(A26:AL26)&gt;0),"",IF(TEXTJOIN(", ",TRUE,IF(AH26="","Описание",""),IF(AND(AE26&lt;&gt;"",AE26&gt;=1,AE26&lt;5),"Фото меньше 5",""),IF(AG26="","Видео",""),IF(H26="","Кадастровый номер",""),IF(AF26="","Ссылка на фото",""))="","",TEXTJOIN(", ",TRUE,IF(AH26="","Описание",""),IF(AND(AE26&lt;&gt;"",AE26&gt;=1,AE26&lt;5),"Фото меньше 5",""),IF(AG26="","Видео",""),IF(H26="","Кадастровый номер",""),IF(AF26="","Ссылка на фото",""))))</f>
        <v/>
      </c>
      <c r="AO26" s="35">
        <f>IF(NOT(COUNTA(A26:AL26)&gt;0),"",IF(AM26="","Можно публиковать","Не хватает"))</f>
        <v/>
      </c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 t="n"/>
      <c r="K27" s="31" t="n"/>
      <c r="L27" s="31" t="n"/>
      <c r="M27" s="32" t="n"/>
      <c r="N27" s="32" t="n"/>
      <c r="O27" s="32" t="n"/>
      <c r="P27" s="32" t="n"/>
      <c r="Q27" s="32" t="n"/>
      <c r="R27" s="32" t="n"/>
      <c r="S27" s="30" t="n"/>
      <c r="T27" s="30" t="n"/>
      <c r="U27" s="30" t="n"/>
      <c r="V27" s="30" t="n"/>
      <c r="W27" s="33" t="n"/>
      <c r="X27" s="33" t="n"/>
      <c r="Y27" s="33" t="n"/>
      <c r="Z27" s="34" t="n"/>
      <c r="AA27" s="34" t="n"/>
      <c r="AB27" s="30" t="n"/>
      <c r="AC27" s="33" t="n"/>
      <c r="AD27" s="33" t="n"/>
      <c r="AE27" s="32" t="n"/>
      <c r="AF27" s="30" t="n"/>
      <c r="AG27" s="30" t="n"/>
      <c r="AH27" s="30" t="n"/>
      <c r="AI27" s="30" t="n"/>
      <c r="AJ27" s="30" t="n"/>
      <c r="AK27" s="30" t="n"/>
      <c r="AL27" s="30" t="n"/>
      <c r="AM27" s="35">
        <f>IF(NOT(COUNTA(A27:AL27)&gt;0),"",IF(TEXTJOIN(", ",TRUE,IF(B27="","Название",""),IF(C27="","Тип недвижимости",""),IF(D27="","Страна",""),IF(E27="","Город",""),IF(F27="","Улица",""),IF(I27="","Валюта",""),IF(OR(AE27="",AE27&lt;1),"Хотя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земли",""),IF(OR(W27="",W27&lt;=0),"Продать сейчас",""),IF(OR(X27="",X27&lt;=0),"Минимальная цена продажи",""),IF(OR(Y27="",Y27&lt;=0),"Стартовая ставка",""),IF(Z27="","Начало аукциона",""),IF(AA27="","Окончание аукциона",""),IF(AND(W27&lt;&gt;"",X27&lt;&gt;"",X27&gt;W27),"Минимальная цена выше «Продать сейчас»",""),IF(AND(W27&lt;&gt;"",X27&lt;&gt;"",X27&lt;=W27,X27&gt;W27*0.9),"Минимальная цена выше 90% от «Продать сейчас»",""),IF(AND(W27&lt;&gt;"",Y27&lt;&gt;"",Y27&gt;W27*0.3),"Стартовая ставка выше 30% от «Продать сейчас»",""),IF(AND(Z27&lt;&gt;"",AA27&lt;&gt;"",AA27&lt;EDATE(Z27,3)+15),"Аукцион короче 3 месяцев и 15 дней",""),IF(AND(AB27="Да",OR(AC27="",AC27&lt;=0)),"Цена тест-драйва за сутки",""),IF(OR(AJ27="",AJ27="Нет"),"Право собственности",""),IF(OR(AK27="",AK27="Нет"),"Справка об отсутствии обременений",""))="","",TEXTJOIN(", ",TRUE,IF(B27="","Название",""),IF(C27="","Тип недвижимости",""),IF(D27="","Страна",""),IF(E27="","Город",""),IF(F27="","Улица",""),IF(I27="","Валюта",""),IF(OR(AE27="",AE27&lt;1),"Хотя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земли",""),IF(OR(W27="",W27&lt;=0),"Продать сейчас",""),IF(OR(X27="",X27&lt;=0),"Минимальная цена продажи",""),IF(OR(Y27="",Y27&lt;=0),"Стартовая ставка",""),IF(Z27="","Начало аукциона",""),IF(AA27="","Окончание аукциона",""),IF(AND(W27&lt;&gt;"",X27&lt;&gt;"",X27&gt;W27),"Минимальная цена выше «Продать сейчас»",""),IF(AND(W27&lt;&gt;"",X27&lt;&gt;"",X27&lt;=W27,X27&gt;W27*0.9),"Минимальная цена выше 90% от «Продать сейчас»",""),IF(AND(W27&lt;&gt;"",Y27&lt;&gt;"",Y27&gt;W27*0.3),"Стартовая ставка выше 30% от «Продать сейчас»",""),IF(AND(Z27&lt;&gt;"",AA27&lt;&gt;"",AA27&lt;EDATE(Z27,3)+15),"Аукцион короче 3 месяцев и 15 дней",""),IF(AND(AB27="Да",OR(AC27="",AC27&lt;=0)),"Цена тест-драйва за сутки",""),IF(OR(AJ27="",AJ27="Нет"),"Право собственности",""),IF(OR(AK27="",AK27="Нет"),"Справка об отсутствии обременений",""))))</f>
        <v/>
      </c>
      <c r="AN27" s="35">
        <f>IF(NOT(COUNTA(A27:AL27)&gt;0),"",IF(TEXTJOIN(", ",TRUE,IF(AH27="","Описание",""),IF(AND(AE27&lt;&gt;"",AE27&gt;=1,AE27&lt;5),"Фото меньше 5",""),IF(AG27="","Видео",""),IF(H27="","Кадастровый номер",""),IF(AF27="","Ссылка на фото",""))="","",TEXTJOIN(", ",TRUE,IF(AH27="","Описание",""),IF(AND(AE27&lt;&gt;"",AE27&gt;=1,AE27&lt;5),"Фото меньше 5",""),IF(AG27="","Видео",""),IF(H27="","Кадастровый номер",""),IF(AF27="","Ссылка на фото",""))))</f>
        <v/>
      </c>
      <c r="AO27" s="35">
        <f>IF(NOT(COUNTA(A27:AL27)&gt;0),"",IF(AM27="","Можно публиковать","Не хватает"))</f>
        <v/>
      </c>
    </row>
    <row r="28" ht="22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7" t="n"/>
      <c r="K28" s="37" t="n"/>
      <c r="L28" s="37" t="n"/>
      <c r="M28" s="38" t="n"/>
      <c r="N28" s="38" t="n"/>
      <c r="O28" s="38" t="n"/>
      <c r="P28" s="38" t="n"/>
      <c r="Q28" s="38" t="n"/>
      <c r="R28" s="38" t="n"/>
      <c r="S28" s="36" t="n"/>
      <c r="T28" s="36" t="n"/>
      <c r="U28" s="36" t="n"/>
      <c r="V28" s="36" t="n"/>
      <c r="W28" s="39" t="n"/>
      <c r="X28" s="39" t="n"/>
      <c r="Y28" s="39" t="n"/>
      <c r="Z28" s="40" t="n"/>
      <c r="AA28" s="40" t="n"/>
      <c r="AB28" s="36" t="n"/>
      <c r="AC28" s="39" t="n"/>
      <c r="AD28" s="39" t="n"/>
      <c r="AE28" s="38" t="n"/>
      <c r="AF28" s="36" t="n"/>
      <c r="AG28" s="36" t="n"/>
      <c r="AH28" s="36" t="n"/>
      <c r="AI28" s="36" t="n"/>
      <c r="AJ28" s="36" t="n"/>
      <c r="AK28" s="36" t="n"/>
      <c r="AL28" s="36" t="n"/>
      <c r="AM28" s="35">
        <f>IF(NOT(COUNTA(A28:AL28)&gt;0),"",IF(TEXTJOIN(", ",TRUE,IF(B28="","Название",""),IF(C28="","Тип недвижимости",""),IF(D28="","Страна",""),IF(E28="","Город",""),IF(F28="","Улица",""),IF(I28="","Валюта",""),IF(OR(AE28="",AE28&lt;1),"Хотя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земли",""),IF(OR(W28="",W28&lt;=0),"Продать сейчас",""),IF(OR(X28="",X28&lt;=0),"Минимальная цена продажи",""),IF(OR(Y28="",Y28&lt;=0),"Стартовая ставка",""),IF(Z28="","Начало аукциона",""),IF(AA28="","Окончание аукциона",""),IF(AND(W28&lt;&gt;"",X28&lt;&gt;"",X28&gt;W28),"Минимальная цена выше «Продать сейчас»",""),IF(AND(W28&lt;&gt;"",X28&lt;&gt;"",X28&lt;=W28,X28&gt;W28*0.9),"Минимальная цена выше 90% от «Продать сейчас»",""),IF(AND(W28&lt;&gt;"",Y28&lt;&gt;"",Y28&gt;W28*0.3),"Стартовая ставка выше 30% от «Продать сейчас»",""),IF(AND(Z28&lt;&gt;"",AA28&lt;&gt;"",AA28&lt;EDATE(Z28,3)+15),"Аукцион короче 3 месяцев и 15 дней",""),IF(AND(AB28="Да",OR(AC28="",AC28&lt;=0)),"Цена тест-драйва за сутки",""),IF(OR(AJ28="",AJ28="Нет"),"Право собственности",""),IF(OR(AK28="",AK28="Нет"),"Справка об отсутствии обременений",""))="","",TEXTJOIN(", ",TRUE,IF(B28="","Название",""),IF(C28="","Тип недвижимости",""),IF(D28="","Страна",""),IF(E28="","Город",""),IF(F28="","Улица",""),IF(I28="","Валюта",""),IF(OR(AE28="",AE28&lt;1),"Хотя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земли",""),IF(OR(W28="",W28&lt;=0),"Продать сейчас",""),IF(OR(X28="",X28&lt;=0),"Минимальная цена продажи",""),IF(OR(Y28="",Y28&lt;=0),"Стартовая ставка",""),IF(Z28="","Начало аукциона",""),IF(AA28="","Окончание аукциона",""),IF(AND(W28&lt;&gt;"",X28&lt;&gt;"",X28&gt;W28),"Минимальная цена выше «Продать сейчас»",""),IF(AND(W28&lt;&gt;"",X28&lt;&gt;"",X28&lt;=W28,X28&gt;W28*0.9),"Минимальная цена выше 90% от «Продать сейчас»",""),IF(AND(W28&lt;&gt;"",Y28&lt;&gt;"",Y28&gt;W28*0.3),"Стартовая ставка выше 30% от «Продать сейчас»",""),IF(AND(Z28&lt;&gt;"",AA28&lt;&gt;"",AA28&lt;EDATE(Z28,3)+15),"Аукцион короче 3 месяцев и 15 дней",""),IF(AND(AB28="Да",OR(AC28="",AC28&lt;=0)),"Цена тест-драйва за сутки",""),IF(OR(AJ28="",AJ28="Нет"),"Право собственности",""),IF(OR(AK28="",AK28="Нет"),"Справка об отсутствии обременений",""))))</f>
        <v/>
      </c>
      <c r="AN28" s="35">
        <f>IF(NOT(COUNTA(A28:AL28)&gt;0),"",IF(TEXTJOIN(", ",TRUE,IF(AH28="","Описание",""),IF(AND(AE28&lt;&gt;"",AE28&gt;=1,AE28&lt;5),"Фото меньше 5",""),IF(AG28="","Видео",""),IF(H28="","Кадастровый номер",""),IF(AF28="","Ссылка на фото",""))="","",TEXTJOIN(", ",TRUE,IF(AH28="","Описание",""),IF(AND(AE28&lt;&gt;"",AE28&gt;=1,AE28&lt;5),"Фото меньше 5",""),IF(AG28="","Видео",""),IF(H28="","Кадастровый номер",""),IF(AF28="","Ссылка на фото",""))))</f>
        <v/>
      </c>
      <c r="AO28" s="35">
        <f>IF(NOT(COUNTA(A28:AL28)&gt;0),"",IF(AM28="","Можно публиковать","Не хватает"))</f>
        <v/>
      </c>
    </row>
    <row r="29" ht="22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 t="n"/>
      <c r="K29" s="31" t="n"/>
      <c r="L29" s="31" t="n"/>
      <c r="M29" s="32" t="n"/>
      <c r="N29" s="32" t="n"/>
      <c r="O29" s="32" t="n"/>
      <c r="P29" s="32" t="n"/>
      <c r="Q29" s="32" t="n"/>
      <c r="R29" s="32" t="n"/>
      <c r="S29" s="30" t="n"/>
      <c r="T29" s="30" t="n"/>
      <c r="U29" s="30" t="n"/>
      <c r="V29" s="30" t="n"/>
      <c r="W29" s="33" t="n"/>
      <c r="X29" s="33" t="n"/>
      <c r="Y29" s="33" t="n"/>
      <c r="Z29" s="34" t="n"/>
      <c r="AA29" s="34" t="n"/>
      <c r="AB29" s="30" t="n"/>
      <c r="AC29" s="33" t="n"/>
      <c r="AD29" s="33" t="n"/>
      <c r="AE29" s="32" t="n"/>
      <c r="AF29" s="30" t="n"/>
      <c r="AG29" s="30" t="n"/>
      <c r="AH29" s="30" t="n"/>
      <c r="AI29" s="30" t="n"/>
      <c r="AJ29" s="30" t="n"/>
      <c r="AK29" s="30" t="n"/>
      <c r="AL29" s="30" t="n"/>
      <c r="AM29" s="35">
        <f>IF(NOT(COUNTA(A29:AL29)&gt;0),"",IF(TEXTJOIN(", ",TRUE,IF(B29="","Название",""),IF(C29="","Тип недвижимости",""),IF(D29="","Страна",""),IF(E29="","Город",""),IF(F29="","Улица",""),IF(I29="","Валюта",""),IF(OR(AE29="",AE29&lt;1),"Хотя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земли",""),IF(OR(W29="",W29&lt;=0),"Продать сейчас",""),IF(OR(X29="",X29&lt;=0),"Минимальная цена продажи",""),IF(OR(Y29="",Y29&lt;=0),"Стартовая ставка",""),IF(Z29="","Начало аукциона",""),IF(AA29="","Окончание аукциона",""),IF(AND(W29&lt;&gt;"",X29&lt;&gt;"",X29&gt;W29),"Минимальная цена выше «Продать сейчас»",""),IF(AND(W29&lt;&gt;"",X29&lt;&gt;"",X29&lt;=W29,X29&gt;W29*0.9),"Минимальная цена выше 90% от «Продать сейчас»",""),IF(AND(W29&lt;&gt;"",Y29&lt;&gt;"",Y29&gt;W29*0.3),"Стартовая ставка выше 30% от «Продать сейчас»",""),IF(AND(Z29&lt;&gt;"",AA29&lt;&gt;"",AA29&lt;EDATE(Z29,3)+15),"Аукцион короче 3 месяцев и 15 дней",""),IF(AND(AB29="Да",OR(AC29="",AC29&lt;=0)),"Цена тест-драйва за сутки",""),IF(OR(AJ29="",AJ29="Нет"),"Право собственности",""),IF(OR(AK29="",AK29="Нет"),"Справка об отсутствии обременений",""))="","",TEXTJOIN(", ",TRUE,IF(B29="","Название",""),IF(C29="","Тип недвижимости",""),IF(D29="","Страна",""),IF(E29="","Город",""),IF(F29="","Улица",""),IF(I29="","Валюта",""),IF(OR(AE29="",AE29&lt;1),"Хотя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земли",""),IF(OR(W29="",W29&lt;=0),"Продать сейчас",""),IF(OR(X29="",X29&lt;=0),"Минимальная цена продажи",""),IF(OR(Y29="",Y29&lt;=0),"Стартовая ставка",""),IF(Z29="","Начало аукциона",""),IF(AA29="","Окончание аукциона",""),IF(AND(W29&lt;&gt;"",X29&lt;&gt;"",X29&gt;W29),"Минимальная цена выше «Продать сейчас»",""),IF(AND(W29&lt;&gt;"",X29&lt;&gt;"",X29&lt;=W29,X29&gt;W29*0.9),"Минимальная цена выше 90% от «Продать сейчас»",""),IF(AND(W29&lt;&gt;"",Y29&lt;&gt;"",Y29&gt;W29*0.3),"Стартовая ставка выше 30% от «Продать сейчас»",""),IF(AND(Z29&lt;&gt;"",AA29&lt;&gt;"",AA29&lt;EDATE(Z29,3)+15),"Аукцион короче 3 месяцев и 15 дней",""),IF(AND(AB29="Да",OR(AC29="",AC29&lt;=0)),"Цена тест-драйва за сутки",""),IF(OR(AJ29="",AJ29="Нет"),"Право собственности",""),IF(OR(AK29="",AK29="Нет"),"Справка об отсутствии обременений",""))))</f>
        <v/>
      </c>
      <c r="AN29" s="35">
        <f>IF(NOT(COUNTA(A29:AL29)&gt;0),"",IF(TEXTJOIN(", ",TRUE,IF(AH29="","Описание",""),IF(AND(AE29&lt;&gt;"",AE29&gt;=1,AE29&lt;5),"Фото меньше 5",""),IF(AG29="","Видео",""),IF(H29="","Кадастровый номер",""),IF(AF29="","Ссылка на фото",""))="","",TEXTJOIN(", ",TRUE,IF(AH29="","Описание",""),IF(AND(AE29&lt;&gt;"",AE29&gt;=1,AE29&lt;5),"Фото меньше 5",""),IF(AG29="","Видео",""),IF(H29="","Кадастровый номер",""),IF(AF29="","Ссылка на фото",""))))</f>
        <v/>
      </c>
      <c r="AO29" s="35">
        <f>IF(NOT(COUNTA(A29:AL29)&gt;0),"",IF(AM29="","Можно публиковать","Не хватает"))</f>
        <v/>
      </c>
    </row>
    <row r="30" ht="22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7" t="n"/>
      <c r="K30" s="37" t="n"/>
      <c r="L30" s="37" t="n"/>
      <c r="M30" s="38" t="n"/>
      <c r="N30" s="38" t="n"/>
      <c r="O30" s="38" t="n"/>
      <c r="P30" s="38" t="n"/>
      <c r="Q30" s="38" t="n"/>
      <c r="R30" s="38" t="n"/>
      <c r="S30" s="36" t="n"/>
      <c r="T30" s="36" t="n"/>
      <c r="U30" s="36" t="n"/>
      <c r="V30" s="36" t="n"/>
      <c r="W30" s="39" t="n"/>
      <c r="X30" s="39" t="n"/>
      <c r="Y30" s="39" t="n"/>
      <c r="Z30" s="40" t="n"/>
      <c r="AA30" s="40" t="n"/>
      <c r="AB30" s="36" t="n"/>
      <c r="AC30" s="39" t="n"/>
      <c r="AD30" s="39" t="n"/>
      <c r="AE30" s="38" t="n"/>
      <c r="AF30" s="36" t="n"/>
      <c r="AG30" s="36" t="n"/>
      <c r="AH30" s="36" t="n"/>
      <c r="AI30" s="36" t="n"/>
      <c r="AJ30" s="36" t="n"/>
      <c r="AK30" s="36" t="n"/>
      <c r="AL30" s="36" t="n"/>
      <c r="AM30" s="35">
        <f>IF(NOT(COUNTA(A30:AL30)&gt;0),"",IF(TEXTJOIN(", ",TRUE,IF(B30="","Название",""),IF(C30="","Тип недвижимости",""),IF(D30="","Страна",""),IF(E30="","Город",""),IF(F30="","Улица",""),IF(I30="","Валюта",""),IF(OR(AE30="",AE30&lt;1),"Хотя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земли",""),IF(OR(W30="",W30&lt;=0),"Продать сейчас",""),IF(OR(X30="",X30&lt;=0),"Минимальная цена продажи",""),IF(OR(Y30="",Y30&lt;=0),"Стартовая ставка",""),IF(Z30="","Начало аукциона",""),IF(AA30="","Окончание аукциона",""),IF(AND(W30&lt;&gt;"",X30&lt;&gt;"",X30&gt;W30),"Минимальная цена выше «Продать сейчас»",""),IF(AND(W30&lt;&gt;"",X30&lt;&gt;"",X30&lt;=W30,X30&gt;W30*0.9),"Минимальная цена выше 90% от «Продать сейчас»",""),IF(AND(W30&lt;&gt;"",Y30&lt;&gt;"",Y30&gt;W30*0.3),"Стартовая ставка выше 30% от «Продать сейчас»",""),IF(AND(Z30&lt;&gt;"",AA30&lt;&gt;"",AA30&lt;EDATE(Z30,3)+15),"Аукцион короче 3 месяцев и 15 дней",""),IF(AND(AB30="Да",OR(AC30="",AC30&lt;=0)),"Цена тест-драйва за сутки",""),IF(OR(AJ30="",AJ30="Нет"),"Право собственности",""),IF(OR(AK30="",AK30="Нет"),"Справка об отсутствии обременений",""))="","",TEXTJOIN(", ",TRUE,IF(B30="","Название",""),IF(C30="","Тип недвижимости",""),IF(D30="","Страна",""),IF(E30="","Город",""),IF(F30="","Улица",""),IF(I30="","Валюта",""),IF(OR(AE30="",AE30&lt;1),"Хотя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земли",""),IF(OR(W30="",W30&lt;=0),"Продать сейчас",""),IF(OR(X30="",X30&lt;=0),"Минимальная цена продажи",""),IF(OR(Y30="",Y30&lt;=0),"Стартовая ставка",""),IF(Z30="","Начало аукциона",""),IF(AA30="","Окончание аукциона",""),IF(AND(W30&lt;&gt;"",X30&lt;&gt;"",X30&gt;W30),"Минимальная цена выше «Продать сейчас»",""),IF(AND(W30&lt;&gt;"",X30&lt;&gt;"",X30&lt;=W30,X30&gt;W30*0.9),"Минимальная цена выше 90% от «Продать сейчас»",""),IF(AND(W30&lt;&gt;"",Y30&lt;&gt;"",Y30&gt;W30*0.3),"Стартовая ставка выше 30% от «Продать сейчас»",""),IF(AND(Z30&lt;&gt;"",AA30&lt;&gt;"",AA30&lt;EDATE(Z30,3)+15),"Аукцион короче 3 месяцев и 15 дней",""),IF(AND(AB30="Да",OR(AC30="",AC30&lt;=0)),"Цена тест-драйва за сутки",""),IF(OR(AJ30="",AJ30="Нет"),"Право собственности",""),IF(OR(AK30="",AK30="Нет"),"Справка об отсутствии обременений",""))))</f>
        <v/>
      </c>
      <c r="AN30" s="35">
        <f>IF(NOT(COUNTA(A30:AL30)&gt;0),"",IF(TEXTJOIN(", ",TRUE,IF(AH30="","Описание",""),IF(AND(AE30&lt;&gt;"",AE30&gt;=1,AE30&lt;5),"Фото меньше 5",""),IF(AG30="","Видео",""),IF(H30="","Кадастровый номер",""),IF(AF30="","Ссылка на фото",""))="","",TEXTJOIN(", ",TRUE,IF(AH30="","Описание",""),IF(AND(AE30&lt;&gt;"",AE30&gt;=1,AE30&lt;5),"Фото меньше 5",""),IF(AG30="","Видео",""),IF(H30="","Кадастровый номер",""),IF(AF30="","Ссылка на фото",""))))</f>
        <v/>
      </c>
      <c r="AO30" s="35">
        <f>IF(NOT(COUNTA(A30:AL30)&gt;0),"",IF(AM30="","Можно публиковать","Не хватает"))</f>
        <v/>
      </c>
    </row>
    <row r="31" ht="22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 t="n"/>
      <c r="K31" s="31" t="n"/>
      <c r="L31" s="31" t="n"/>
      <c r="M31" s="32" t="n"/>
      <c r="N31" s="32" t="n"/>
      <c r="O31" s="32" t="n"/>
      <c r="P31" s="32" t="n"/>
      <c r="Q31" s="32" t="n"/>
      <c r="R31" s="32" t="n"/>
      <c r="S31" s="30" t="n"/>
      <c r="T31" s="30" t="n"/>
      <c r="U31" s="30" t="n"/>
      <c r="V31" s="30" t="n"/>
      <c r="W31" s="33" t="n"/>
      <c r="X31" s="33" t="n"/>
      <c r="Y31" s="33" t="n"/>
      <c r="Z31" s="34" t="n"/>
      <c r="AA31" s="34" t="n"/>
      <c r="AB31" s="30" t="n"/>
      <c r="AC31" s="33" t="n"/>
      <c r="AD31" s="33" t="n"/>
      <c r="AE31" s="32" t="n"/>
      <c r="AF31" s="30" t="n"/>
      <c r="AG31" s="30" t="n"/>
      <c r="AH31" s="30" t="n"/>
      <c r="AI31" s="30" t="n"/>
      <c r="AJ31" s="30" t="n"/>
      <c r="AK31" s="30" t="n"/>
      <c r="AL31" s="30" t="n"/>
      <c r="AM31" s="35">
        <f>IF(NOT(COUNTA(A31:AL31)&gt;0),"",IF(TEXTJOIN(", ",TRUE,IF(B31="","Название",""),IF(C31="","Тип недвижимости",""),IF(D31="","Страна",""),IF(E31="","Город",""),IF(F31="","Улица",""),IF(I31="","Валюта",""),IF(OR(AE31="",AE31&lt;1),"Хотя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земли",""),IF(OR(W31="",W31&lt;=0),"Продать сейчас",""),IF(OR(X31="",X31&lt;=0),"Минимальная цена продажи",""),IF(OR(Y31="",Y31&lt;=0),"Стартовая ставка",""),IF(Z31="","Начало аукциона",""),IF(AA31="","Окончание аукциона",""),IF(AND(W31&lt;&gt;"",X31&lt;&gt;"",X31&gt;W31),"Минимальная цена выше «Продать сейчас»",""),IF(AND(W31&lt;&gt;"",X31&lt;&gt;"",X31&lt;=W31,X31&gt;W31*0.9),"Минимальная цена выше 90% от «Продать сейчас»",""),IF(AND(W31&lt;&gt;"",Y31&lt;&gt;"",Y31&gt;W31*0.3),"Стартовая ставка выше 30% от «Продать сейчас»",""),IF(AND(Z31&lt;&gt;"",AA31&lt;&gt;"",AA31&lt;EDATE(Z31,3)+15),"Аукцион короче 3 месяцев и 15 дней",""),IF(AND(AB31="Да",OR(AC31="",AC31&lt;=0)),"Цена тест-драйва за сутки",""),IF(OR(AJ31="",AJ31="Нет"),"Право собственности",""),IF(OR(AK31="",AK31="Нет"),"Справка об отсутствии обременений",""))="","",TEXTJOIN(", ",TRUE,IF(B31="","Название",""),IF(C31="","Тип недвижимости",""),IF(D31="","Страна",""),IF(E31="","Город",""),IF(F31="","Улица",""),IF(I31="","Валюта",""),IF(OR(AE31="",AE31&lt;1),"Хотя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земли",""),IF(OR(W31="",W31&lt;=0),"Продать сейчас",""),IF(OR(X31="",X31&lt;=0),"Минимальная цена продажи",""),IF(OR(Y31="",Y31&lt;=0),"Стартовая ставка",""),IF(Z31="","Начало аукциона",""),IF(AA31="","Окончание аукциона",""),IF(AND(W31&lt;&gt;"",X31&lt;&gt;"",X31&gt;W31),"Минимальная цена выше «Продать сейчас»",""),IF(AND(W31&lt;&gt;"",X31&lt;&gt;"",X31&lt;=W31,X31&gt;W31*0.9),"Минимальная цена выше 90% от «Продать сейчас»",""),IF(AND(W31&lt;&gt;"",Y31&lt;&gt;"",Y31&gt;W31*0.3),"Стартовая ставка выше 30% от «Продать сейчас»",""),IF(AND(Z31&lt;&gt;"",AA31&lt;&gt;"",AA31&lt;EDATE(Z31,3)+15),"Аукцион короче 3 месяцев и 15 дней",""),IF(AND(AB31="Да",OR(AC31="",AC31&lt;=0)),"Цена тест-драйва за сутки",""),IF(OR(AJ31="",AJ31="Нет"),"Право собственности",""),IF(OR(AK31="",AK31="Нет"),"Справка об отсутствии обременений",""))))</f>
        <v/>
      </c>
      <c r="AN31" s="35">
        <f>IF(NOT(COUNTA(A31:AL31)&gt;0),"",IF(TEXTJOIN(", ",TRUE,IF(AH31="","Описание",""),IF(AND(AE31&lt;&gt;"",AE31&gt;=1,AE31&lt;5),"Фото меньше 5",""),IF(AG31="","Видео",""),IF(H31="","Кадастровый номер",""),IF(AF31="","Ссылка на фото",""))="","",TEXTJOIN(", ",TRUE,IF(AH31="","Описание",""),IF(AND(AE31&lt;&gt;"",AE31&gt;=1,AE31&lt;5),"Фото меньше 5",""),IF(AG31="","Видео",""),IF(H31="","Кадастровый номер",""),IF(AF31="","Ссылка на фото",""))))</f>
        <v/>
      </c>
      <c r="AO31" s="35">
        <f>IF(NOT(COUNTA(A31:AL31)&gt;0),"",IF(AM31="","Можно публиковать","Не хватает"))</f>
        <v/>
      </c>
    </row>
    <row r="32" ht="22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37" t="n"/>
      <c r="M32" s="38" t="n"/>
      <c r="N32" s="38" t="n"/>
      <c r="O32" s="38" t="n"/>
      <c r="P32" s="38" t="n"/>
      <c r="Q32" s="38" t="n"/>
      <c r="R32" s="38" t="n"/>
      <c r="S32" s="36" t="n"/>
      <c r="T32" s="36" t="n"/>
      <c r="U32" s="36" t="n"/>
      <c r="V32" s="36" t="n"/>
      <c r="W32" s="39" t="n"/>
      <c r="X32" s="39" t="n"/>
      <c r="Y32" s="39" t="n"/>
      <c r="Z32" s="40" t="n"/>
      <c r="AA32" s="40" t="n"/>
      <c r="AB32" s="36" t="n"/>
      <c r="AC32" s="39" t="n"/>
      <c r="AD32" s="39" t="n"/>
      <c r="AE32" s="38" t="n"/>
      <c r="AF32" s="36" t="n"/>
      <c r="AG32" s="36" t="n"/>
      <c r="AH32" s="36" t="n"/>
      <c r="AI32" s="36" t="n"/>
      <c r="AJ32" s="36" t="n"/>
      <c r="AK32" s="36" t="n"/>
      <c r="AL32" s="36" t="n"/>
      <c r="AM32" s="35">
        <f>IF(NOT(COUNTA(A32:AL32)&gt;0),"",IF(TEXTJOIN(", ",TRUE,IF(B32="","Название",""),IF(C32="","Тип недвижимости",""),IF(D32="","Страна",""),IF(E32="","Город",""),IF(F32="","Улица",""),IF(I32="","Валюта",""),IF(OR(AE32="",AE32&lt;1),"Хотя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земли",""),IF(OR(W32="",W32&lt;=0),"Продать сейчас",""),IF(OR(X32="",X32&lt;=0),"Минимальная цена продажи",""),IF(OR(Y32="",Y32&lt;=0),"Стартовая ставка",""),IF(Z32="","Начало аукциона",""),IF(AA32="","Окончание аукциона",""),IF(AND(W32&lt;&gt;"",X32&lt;&gt;"",X32&gt;W32),"Минимальная цена выше «Продать сейчас»",""),IF(AND(W32&lt;&gt;"",X32&lt;&gt;"",X32&lt;=W32,X32&gt;W32*0.9),"Минимальная цена выше 90% от «Продать сейчас»",""),IF(AND(W32&lt;&gt;"",Y32&lt;&gt;"",Y32&gt;W32*0.3),"Стартовая ставка выше 30% от «Продать сейчас»",""),IF(AND(Z32&lt;&gt;"",AA32&lt;&gt;"",AA32&lt;EDATE(Z32,3)+15),"Аукцион короче 3 месяцев и 15 дней",""),IF(AND(AB32="Да",OR(AC32="",AC32&lt;=0)),"Цена тест-драйва за сутки",""),IF(OR(AJ32="",AJ32="Нет"),"Право собственности",""),IF(OR(AK32="",AK32="Нет"),"Справка об отсутствии обременений",""))="","",TEXTJOIN(", ",TRUE,IF(B32="","Название",""),IF(C32="","Тип недвижимости",""),IF(D32="","Страна",""),IF(E32="","Город",""),IF(F32="","Улица",""),IF(I32="","Валюта",""),IF(OR(AE32="",AE32&lt;1),"Хотя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земли",""),IF(OR(W32="",W32&lt;=0),"Продать сейчас",""),IF(OR(X32="",X32&lt;=0),"Минимальная цена продажи",""),IF(OR(Y32="",Y32&lt;=0),"Стартовая ставка",""),IF(Z32="","Начало аукциона",""),IF(AA32="","Окончание аукциона",""),IF(AND(W32&lt;&gt;"",X32&lt;&gt;"",X32&gt;W32),"Минимальная цена выше «Продать сейчас»",""),IF(AND(W32&lt;&gt;"",X32&lt;&gt;"",X32&lt;=W32,X32&gt;W32*0.9),"Минимальная цена выше 90% от «Продать сейчас»",""),IF(AND(W32&lt;&gt;"",Y32&lt;&gt;"",Y32&gt;W32*0.3),"Стартовая ставка выше 30% от «Продать сейчас»",""),IF(AND(Z32&lt;&gt;"",AA32&lt;&gt;"",AA32&lt;EDATE(Z32,3)+15),"Аукцион короче 3 месяцев и 15 дней",""),IF(AND(AB32="Да",OR(AC32="",AC32&lt;=0)),"Цена тест-драйва за сутки",""),IF(OR(AJ32="",AJ32="Нет"),"Право собственности",""),IF(OR(AK32="",AK32="Нет"),"Справка об отсутствии обременений",""))))</f>
        <v/>
      </c>
      <c r="AN32" s="35">
        <f>IF(NOT(COUNTA(A32:AL32)&gt;0),"",IF(TEXTJOIN(", ",TRUE,IF(AH32="","Описание",""),IF(AND(AE32&lt;&gt;"",AE32&gt;=1,AE32&lt;5),"Фото меньше 5",""),IF(AG32="","Видео",""),IF(H32="","Кадастровый номер",""),IF(AF32="","Ссылка на фото",""))="","",TEXTJOIN(", ",TRUE,IF(AH32="","Описание",""),IF(AND(AE32&lt;&gt;"",AE32&gt;=1,AE32&lt;5),"Фото меньше 5",""),IF(AG32="","Видео",""),IF(H32="","Кадастровый номер",""),IF(AF32="","Ссылка на фото",""))))</f>
        <v/>
      </c>
      <c r="AO32" s="35">
        <f>IF(NOT(COUNTA(A32:AL32)&gt;0),"",IF(AM32="","Можно публиковать","Не хватает"))</f>
        <v/>
      </c>
    </row>
    <row r="33" ht="22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  <c r="K33" s="31" t="n"/>
      <c r="L33" s="31" t="n"/>
      <c r="M33" s="32" t="n"/>
      <c r="N33" s="32" t="n"/>
      <c r="O33" s="32" t="n"/>
      <c r="P33" s="32" t="n"/>
      <c r="Q33" s="32" t="n"/>
      <c r="R33" s="32" t="n"/>
      <c r="S33" s="30" t="n"/>
      <c r="T33" s="30" t="n"/>
      <c r="U33" s="30" t="n"/>
      <c r="V33" s="30" t="n"/>
      <c r="W33" s="33" t="n"/>
      <c r="X33" s="33" t="n"/>
      <c r="Y33" s="33" t="n"/>
      <c r="Z33" s="34" t="n"/>
      <c r="AA33" s="34" t="n"/>
      <c r="AB33" s="30" t="n"/>
      <c r="AC33" s="33" t="n"/>
      <c r="AD33" s="33" t="n"/>
      <c r="AE33" s="32" t="n"/>
      <c r="AF33" s="30" t="n"/>
      <c r="AG33" s="30" t="n"/>
      <c r="AH33" s="30" t="n"/>
      <c r="AI33" s="30" t="n"/>
      <c r="AJ33" s="30" t="n"/>
      <c r="AK33" s="30" t="n"/>
      <c r="AL33" s="30" t="n"/>
      <c r="AM33" s="35">
        <f>IF(NOT(COUNTA(A33:AL33)&gt;0),"",IF(TEXTJOIN(", ",TRUE,IF(B33="","Название",""),IF(C33="","Тип недвижимости",""),IF(D33="","Страна",""),IF(E33="","Город",""),IF(F33="","Улица",""),IF(I33="","Валюта",""),IF(OR(AE33="",AE33&lt;1),"Хотя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земли",""),IF(OR(W33="",W33&lt;=0),"Продать сейчас",""),IF(OR(X33="",X33&lt;=0),"Минимальная цена продажи",""),IF(OR(Y33="",Y33&lt;=0),"Стартовая ставка",""),IF(Z33="","Начало аукциона",""),IF(AA33="","Окончание аукциона",""),IF(AND(W33&lt;&gt;"",X33&lt;&gt;"",X33&gt;W33),"Минимальная цена выше «Продать сейчас»",""),IF(AND(W33&lt;&gt;"",X33&lt;&gt;"",X33&lt;=W33,X33&gt;W33*0.9),"Минимальная цена выше 90% от «Продать сейчас»",""),IF(AND(W33&lt;&gt;"",Y33&lt;&gt;"",Y33&gt;W33*0.3),"Стартовая ставка выше 30% от «Продать сейчас»",""),IF(AND(Z33&lt;&gt;"",AA33&lt;&gt;"",AA33&lt;EDATE(Z33,3)+15),"Аукцион короче 3 месяцев и 15 дней",""),IF(AND(AB33="Да",OR(AC33="",AC33&lt;=0)),"Цена тест-драйва за сутки",""),IF(OR(AJ33="",AJ33="Нет"),"Право собственности",""),IF(OR(AK33="",AK33="Нет"),"Справка об отсутствии обременений",""))="","",TEXTJOIN(", ",TRUE,IF(B33="","Название",""),IF(C33="","Тип недвижимости",""),IF(D33="","Страна",""),IF(E33="","Город",""),IF(F33="","Улица",""),IF(I33="","Валюта",""),IF(OR(AE33="",AE33&lt;1),"Хотя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земли",""),IF(OR(W33="",W33&lt;=0),"Продать сейчас",""),IF(OR(X33="",X33&lt;=0),"Минимальная цена продажи",""),IF(OR(Y33="",Y33&lt;=0),"Стартовая ставка",""),IF(Z33="","Начало аукциона",""),IF(AA33="","Окончание аукциона",""),IF(AND(W33&lt;&gt;"",X33&lt;&gt;"",X33&gt;W33),"Минимальная цена выше «Продать сейчас»",""),IF(AND(W33&lt;&gt;"",X33&lt;&gt;"",X33&lt;=W33,X33&gt;W33*0.9),"Минимальная цена выше 90% от «Продать сейчас»",""),IF(AND(W33&lt;&gt;"",Y33&lt;&gt;"",Y33&gt;W33*0.3),"Стартовая ставка выше 30% от «Продать сейчас»",""),IF(AND(Z33&lt;&gt;"",AA33&lt;&gt;"",AA33&lt;EDATE(Z33,3)+15),"Аукцион короче 3 месяцев и 15 дней",""),IF(AND(AB33="Да",OR(AC33="",AC33&lt;=0)),"Цена тест-драйва за сутки",""),IF(OR(AJ33="",AJ33="Нет"),"Право собственности",""),IF(OR(AK33="",AK33="Нет"),"Справка об отсутствии обременений",""))))</f>
        <v/>
      </c>
      <c r="AN33" s="35">
        <f>IF(NOT(COUNTA(A33:AL33)&gt;0),"",IF(TEXTJOIN(", ",TRUE,IF(AH33="","Описание",""),IF(AND(AE33&lt;&gt;"",AE33&gt;=1,AE33&lt;5),"Фото меньше 5",""),IF(AG33="","Видео",""),IF(H33="","Кадастровый номер",""),IF(AF33="","Ссылка на фото",""))="","",TEXTJOIN(", ",TRUE,IF(AH33="","Описание",""),IF(AND(AE33&lt;&gt;"",AE33&gt;=1,AE33&lt;5),"Фото меньше 5",""),IF(AG33="","Видео",""),IF(H33="","Кадастровый номер",""),IF(AF33="","Ссылка на фото",""))))</f>
        <v/>
      </c>
      <c r="AO33" s="35">
        <f>IF(NOT(COUNTA(A33:AL33)&gt;0),"",IF(AM33="","Можно публиковать","Не хватает"))</f>
        <v/>
      </c>
    </row>
    <row r="34" ht="22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7" t="n"/>
      <c r="K34" s="37" t="n"/>
      <c r="L34" s="37" t="n"/>
      <c r="M34" s="38" t="n"/>
      <c r="N34" s="38" t="n"/>
      <c r="O34" s="38" t="n"/>
      <c r="P34" s="38" t="n"/>
      <c r="Q34" s="38" t="n"/>
      <c r="R34" s="38" t="n"/>
      <c r="S34" s="36" t="n"/>
      <c r="T34" s="36" t="n"/>
      <c r="U34" s="36" t="n"/>
      <c r="V34" s="36" t="n"/>
      <c r="W34" s="39" t="n"/>
      <c r="X34" s="39" t="n"/>
      <c r="Y34" s="39" t="n"/>
      <c r="Z34" s="40" t="n"/>
      <c r="AA34" s="40" t="n"/>
      <c r="AB34" s="36" t="n"/>
      <c r="AC34" s="39" t="n"/>
      <c r="AD34" s="39" t="n"/>
      <c r="AE34" s="38" t="n"/>
      <c r="AF34" s="36" t="n"/>
      <c r="AG34" s="36" t="n"/>
      <c r="AH34" s="36" t="n"/>
      <c r="AI34" s="36" t="n"/>
      <c r="AJ34" s="36" t="n"/>
      <c r="AK34" s="36" t="n"/>
      <c r="AL34" s="36" t="n"/>
      <c r="AM34" s="35">
        <f>IF(NOT(COUNTA(A34:AL34)&gt;0),"",IF(TEXTJOIN(", ",TRUE,IF(B34="","Название",""),IF(C34="","Тип недвижимости",""),IF(D34="","Страна",""),IF(E34="","Город",""),IF(F34="","Улица",""),IF(I34="","Валюта",""),IF(OR(AE34="",AE34&lt;1),"Хотя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земли",""),IF(OR(W34="",W34&lt;=0),"Продать сейчас",""),IF(OR(X34="",X34&lt;=0),"Минимальная цена продажи",""),IF(OR(Y34="",Y34&lt;=0),"Стартовая ставка",""),IF(Z34="","Начало аукциона",""),IF(AA34="","Окончание аукциона",""),IF(AND(W34&lt;&gt;"",X34&lt;&gt;"",X34&gt;W34),"Минимальная цена выше «Продать сейчас»",""),IF(AND(W34&lt;&gt;"",X34&lt;&gt;"",X34&lt;=W34,X34&gt;W34*0.9),"Минимальная цена выше 90% от «Продать сейчас»",""),IF(AND(W34&lt;&gt;"",Y34&lt;&gt;"",Y34&gt;W34*0.3),"Стартовая ставка выше 30% от «Продать сейчас»",""),IF(AND(Z34&lt;&gt;"",AA34&lt;&gt;"",AA34&lt;EDATE(Z34,3)+15),"Аукцион короче 3 месяцев и 15 дней",""),IF(AND(AB34="Да",OR(AC34="",AC34&lt;=0)),"Цена тест-драйва за сутки",""),IF(OR(AJ34="",AJ34="Нет"),"Право собственности",""),IF(OR(AK34="",AK34="Нет"),"Справка об отсутствии обременений",""))="","",TEXTJOIN(", ",TRUE,IF(B34="","Название",""),IF(C34="","Тип недвижимости",""),IF(D34="","Страна",""),IF(E34="","Город",""),IF(F34="","Улица",""),IF(I34="","Валюта",""),IF(OR(AE34="",AE34&lt;1),"Хотя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земли",""),IF(OR(W34="",W34&lt;=0),"Продать сейчас",""),IF(OR(X34="",X34&lt;=0),"Минимальная цена продажи",""),IF(OR(Y34="",Y34&lt;=0),"Стартовая ставка",""),IF(Z34="","Начало аукциона",""),IF(AA34="","Окончание аукциона",""),IF(AND(W34&lt;&gt;"",X34&lt;&gt;"",X34&gt;W34),"Минимальная цена выше «Продать сейчас»",""),IF(AND(W34&lt;&gt;"",X34&lt;&gt;"",X34&lt;=W34,X34&gt;W34*0.9),"Минимальная цена выше 90% от «Продать сейчас»",""),IF(AND(W34&lt;&gt;"",Y34&lt;&gt;"",Y34&gt;W34*0.3),"Стартовая ставка выше 30% от «Продать сейчас»",""),IF(AND(Z34&lt;&gt;"",AA34&lt;&gt;"",AA34&lt;EDATE(Z34,3)+15),"Аукцион короче 3 месяцев и 15 дней",""),IF(AND(AB34="Да",OR(AC34="",AC34&lt;=0)),"Цена тест-драйва за сутки",""),IF(OR(AJ34="",AJ34="Нет"),"Право собственности",""),IF(OR(AK34="",AK34="Нет"),"Справка об отсутствии обременений",""))))</f>
        <v/>
      </c>
      <c r="AN34" s="35">
        <f>IF(NOT(COUNTA(A34:AL34)&gt;0),"",IF(TEXTJOIN(", ",TRUE,IF(AH34="","Описание",""),IF(AND(AE34&lt;&gt;"",AE34&gt;=1,AE34&lt;5),"Фото меньше 5",""),IF(AG34="","Видео",""),IF(H34="","Кадастровый номер",""),IF(AF34="","Ссылка на фото",""))="","",TEXTJOIN(", ",TRUE,IF(AH34="","Описание",""),IF(AND(AE34&lt;&gt;"",AE34&gt;=1,AE34&lt;5),"Фото меньше 5",""),IF(AG34="","Видео",""),IF(H34="","Кадастровый номер",""),IF(AF34="","Ссылка на фото",""))))</f>
        <v/>
      </c>
      <c r="AO34" s="35">
        <f>IF(NOT(COUNTA(A34:AL34)&gt;0),"",IF(AM34="","Можно публиковать","Не хватает"))</f>
        <v/>
      </c>
    </row>
    <row r="35" ht="22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 t="n"/>
      <c r="K35" s="31" t="n"/>
      <c r="L35" s="31" t="n"/>
      <c r="M35" s="32" t="n"/>
      <c r="N35" s="32" t="n"/>
      <c r="O35" s="32" t="n"/>
      <c r="P35" s="32" t="n"/>
      <c r="Q35" s="32" t="n"/>
      <c r="R35" s="32" t="n"/>
      <c r="S35" s="30" t="n"/>
      <c r="T35" s="30" t="n"/>
      <c r="U35" s="30" t="n"/>
      <c r="V35" s="30" t="n"/>
      <c r="W35" s="33" t="n"/>
      <c r="X35" s="33" t="n"/>
      <c r="Y35" s="33" t="n"/>
      <c r="Z35" s="34" t="n"/>
      <c r="AA35" s="34" t="n"/>
      <c r="AB35" s="30" t="n"/>
      <c r="AC35" s="33" t="n"/>
      <c r="AD35" s="33" t="n"/>
      <c r="AE35" s="32" t="n"/>
      <c r="AF35" s="30" t="n"/>
      <c r="AG35" s="30" t="n"/>
      <c r="AH35" s="30" t="n"/>
      <c r="AI35" s="30" t="n"/>
      <c r="AJ35" s="30" t="n"/>
      <c r="AK35" s="30" t="n"/>
      <c r="AL35" s="30" t="n"/>
      <c r="AM35" s="35">
        <f>IF(NOT(COUNTA(A35:AL35)&gt;0),"",IF(TEXTJOIN(", ",TRUE,IF(B35="","Название",""),IF(C35="","Тип недвижимости",""),IF(D35="","Страна",""),IF(E35="","Город",""),IF(F35="","Улица",""),IF(I35="","Валюта",""),IF(OR(AE35="",AE35&lt;1),"Хотя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земли",""),IF(OR(W35="",W35&lt;=0),"Продать сейчас",""),IF(OR(X35="",X35&lt;=0),"Минимальная цена продажи",""),IF(OR(Y35="",Y35&lt;=0),"Стартовая ставка",""),IF(Z35="","Начало аукциона",""),IF(AA35="","Окончание аукциона",""),IF(AND(W35&lt;&gt;"",X35&lt;&gt;"",X35&gt;W35),"Минимальная цена выше «Продать сейчас»",""),IF(AND(W35&lt;&gt;"",X35&lt;&gt;"",X35&lt;=W35,X35&gt;W35*0.9),"Минимальная цена выше 90% от «Продать сейчас»",""),IF(AND(W35&lt;&gt;"",Y35&lt;&gt;"",Y35&gt;W35*0.3),"Стартовая ставка выше 30% от «Продать сейчас»",""),IF(AND(Z35&lt;&gt;"",AA35&lt;&gt;"",AA35&lt;EDATE(Z35,3)+15),"Аукцион короче 3 месяцев и 15 дней",""),IF(AND(AB35="Да",OR(AC35="",AC35&lt;=0)),"Цена тест-драйва за сутки",""),IF(OR(AJ35="",AJ35="Нет"),"Право собственности",""),IF(OR(AK35="",AK35="Нет"),"Справка об отсутствии обременений",""))="","",TEXTJOIN(", ",TRUE,IF(B35="","Название",""),IF(C35="","Тип недвижимости",""),IF(D35="","Страна",""),IF(E35="","Город",""),IF(F35="","Улица",""),IF(I35="","Валюта",""),IF(OR(AE35="",AE35&lt;1),"Хотя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земли",""),IF(OR(W35="",W35&lt;=0),"Продать сейчас",""),IF(OR(X35="",X35&lt;=0),"Минимальная цена продажи",""),IF(OR(Y35="",Y35&lt;=0),"Стартовая ставка",""),IF(Z35="","Начало аукциона",""),IF(AA35="","Окончание аукциона",""),IF(AND(W35&lt;&gt;"",X35&lt;&gt;"",X35&gt;W35),"Минимальная цена выше «Продать сейчас»",""),IF(AND(W35&lt;&gt;"",X35&lt;&gt;"",X35&lt;=W35,X35&gt;W35*0.9),"Минимальная цена выше 90% от «Продать сейчас»",""),IF(AND(W35&lt;&gt;"",Y35&lt;&gt;"",Y35&gt;W35*0.3),"Стартовая ставка выше 30% от «Продать сейчас»",""),IF(AND(Z35&lt;&gt;"",AA35&lt;&gt;"",AA35&lt;EDATE(Z35,3)+15),"Аукцион короче 3 месяцев и 15 дней",""),IF(AND(AB35="Да",OR(AC35="",AC35&lt;=0)),"Цена тест-драйва за сутки",""),IF(OR(AJ35="",AJ35="Нет"),"Право собственности",""),IF(OR(AK35="",AK35="Нет"),"Справка об отсутствии обременений",""))))</f>
        <v/>
      </c>
      <c r="AN35" s="35">
        <f>IF(NOT(COUNTA(A35:AL35)&gt;0),"",IF(TEXTJOIN(", ",TRUE,IF(AH35="","Описание",""),IF(AND(AE35&lt;&gt;"",AE35&gt;=1,AE35&lt;5),"Фото меньше 5",""),IF(AG35="","Видео",""),IF(H35="","Кадастровый номер",""),IF(AF35="","Ссылка на фото",""))="","",TEXTJOIN(", ",TRUE,IF(AH35="","Описание",""),IF(AND(AE35&lt;&gt;"",AE35&gt;=1,AE35&lt;5),"Фото меньше 5",""),IF(AG35="","Видео",""),IF(H35="","Кадастровый номер",""),IF(AF35="","Ссылка на фото",""))))</f>
        <v/>
      </c>
      <c r="AO35" s="35">
        <f>IF(NOT(COUNTA(A35:AL35)&gt;0),"",IF(AM35="","Можно публиковать","Не хватает"))</f>
        <v/>
      </c>
    </row>
    <row r="36" ht="22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7" t="n"/>
      <c r="K36" s="37" t="n"/>
      <c r="L36" s="37" t="n"/>
      <c r="M36" s="38" t="n"/>
      <c r="N36" s="38" t="n"/>
      <c r="O36" s="38" t="n"/>
      <c r="P36" s="38" t="n"/>
      <c r="Q36" s="38" t="n"/>
      <c r="R36" s="38" t="n"/>
      <c r="S36" s="36" t="n"/>
      <c r="T36" s="36" t="n"/>
      <c r="U36" s="36" t="n"/>
      <c r="V36" s="36" t="n"/>
      <c r="W36" s="39" t="n"/>
      <c r="X36" s="39" t="n"/>
      <c r="Y36" s="39" t="n"/>
      <c r="Z36" s="40" t="n"/>
      <c r="AA36" s="40" t="n"/>
      <c r="AB36" s="36" t="n"/>
      <c r="AC36" s="39" t="n"/>
      <c r="AD36" s="39" t="n"/>
      <c r="AE36" s="38" t="n"/>
      <c r="AF36" s="36" t="n"/>
      <c r="AG36" s="36" t="n"/>
      <c r="AH36" s="36" t="n"/>
      <c r="AI36" s="36" t="n"/>
      <c r="AJ36" s="36" t="n"/>
      <c r="AK36" s="36" t="n"/>
      <c r="AL36" s="36" t="n"/>
      <c r="AM36" s="35">
        <f>IF(NOT(COUNTA(A36:AL36)&gt;0),"",IF(TEXTJOIN(", ",TRUE,IF(B36="","Название",""),IF(C36="","Тип недвижимости",""),IF(D36="","Страна",""),IF(E36="","Город",""),IF(F36="","Улица",""),IF(I36="","Валюта",""),IF(OR(AE36="",AE36&lt;1),"Хотя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земли",""),IF(OR(W36="",W36&lt;=0),"Продать сейчас",""),IF(OR(X36="",X36&lt;=0),"Минимальная цена продажи",""),IF(OR(Y36="",Y36&lt;=0),"Стартовая ставка",""),IF(Z36="","Начало аукциона",""),IF(AA36="","Окончание аукциона",""),IF(AND(W36&lt;&gt;"",X36&lt;&gt;"",X36&gt;W36),"Минимальная цена выше «Продать сейчас»",""),IF(AND(W36&lt;&gt;"",X36&lt;&gt;"",X36&lt;=W36,X36&gt;W36*0.9),"Минимальная цена выше 90% от «Продать сейчас»",""),IF(AND(W36&lt;&gt;"",Y36&lt;&gt;"",Y36&gt;W36*0.3),"Стартовая ставка выше 30% от «Продать сейчас»",""),IF(AND(Z36&lt;&gt;"",AA36&lt;&gt;"",AA36&lt;EDATE(Z36,3)+15),"Аукцион короче 3 месяцев и 15 дней",""),IF(AND(AB36="Да",OR(AC36="",AC36&lt;=0)),"Цена тест-драйва за сутки",""),IF(OR(AJ36="",AJ36="Нет"),"Право собственности",""),IF(OR(AK36="",AK36="Нет"),"Справка об отсутствии обременений",""))="","",TEXTJOIN(", ",TRUE,IF(B36="","Название",""),IF(C36="","Тип недвижимости",""),IF(D36="","Страна",""),IF(E36="","Город",""),IF(F36="","Улица",""),IF(I36="","Валюта",""),IF(OR(AE36="",AE36&lt;1),"Хотя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земли",""),IF(OR(W36="",W36&lt;=0),"Продать сейчас",""),IF(OR(X36="",X36&lt;=0),"Минимальная цена продажи",""),IF(OR(Y36="",Y36&lt;=0),"Стартовая ставка",""),IF(Z36="","Начало аукциона",""),IF(AA36="","Окончание аукциона",""),IF(AND(W36&lt;&gt;"",X36&lt;&gt;"",X36&gt;W36),"Минимальная цена выше «Продать сейчас»",""),IF(AND(W36&lt;&gt;"",X36&lt;&gt;"",X36&lt;=W36,X36&gt;W36*0.9),"Минимальная цена выше 90% от «Продать сейчас»",""),IF(AND(W36&lt;&gt;"",Y36&lt;&gt;"",Y36&gt;W36*0.3),"Стартовая ставка выше 30% от «Продать сейчас»",""),IF(AND(Z36&lt;&gt;"",AA36&lt;&gt;"",AA36&lt;EDATE(Z36,3)+15),"Аукцион короче 3 месяцев и 15 дней",""),IF(AND(AB36="Да",OR(AC36="",AC36&lt;=0)),"Цена тест-драйва за сутки",""),IF(OR(AJ36="",AJ36="Нет"),"Право собственности",""),IF(OR(AK36="",AK36="Нет"),"Справка об отсутствии обременений",""))))</f>
        <v/>
      </c>
      <c r="AN36" s="35">
        <f>IF(NOT(COUNTA(A36:AL36)&gt;0),"",IF(TEXTJOIN(", ",TRUE,IF(AH36="","Описание",""),IF(AND(AE36&lt;&gt;"",AE36&gt;=1,AE36&lt;5),"Фото меньше 5",""),IF(AG36="","Видео",""),IF(H36="","Кадастровый номер",""),IF(AF36="","Ссылка на фото",""))="","",TEXTJOIN(", ",TRUE,IF(AH36="","Описание",""),IF(AND(AE36&lt;&gt;"",AE36&gt;=1,AE36&lt;5),"Фото меньше 5",""),IF(AG36="","Видео",""),IF(H36="","Кадастровый номер",""),IF(AF36="","Ссылка на фото",""))))</f>
        <v/>
      </c>
      <c r="AO36" s="35">
        <f>IF(NOT(COUNTA(A36:AL36)&gt;0),"",IF(AM36="","Можно публиковать","Не хватает"))</f>
        <v/>
      </c>
    </row>
    <row r="37" ht="22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  <c r="K37" s="31" t="n"/>
      <c r="L37" s="31" t="n"/>
      <c r="M37" s="32" t="n"/>
      <c r="N37" s="32" t="n"/>
      <c r="O37" s="32" t="n"/>
      <c r="P37" s="32" t="n"/>
      <c r="Q37" s="32" t="n"/>
      <c r="R37" s="32" t="n"/>
      <c r="S37" s="30" t="n"/>
      <c r="T37" s="30" t="n"/>
      <c r="U37" s="30" t="n"/>
      <c r="V37" s="30" t="n"/>
      <c r="W37" s="33" t="n"/>
      <c r="X37" s="33" t="n"/>
      <c r="Y37" s="33" t="n"/>
      <c r="Z37" s="34" t="n"/>
      <c r="AA37" s="34" t="n"/>
      <c r="AB37" s="30" t="n"/>
      <c r="AC37" s="33" t="n"/>
      <c r="AD37" s="33" t="n"/>
      <c r="AE37" s="32" t="n"/>
      <c r="AF37" s="30" t="n"/>
      <c r="AG37" s="30" t="n"/>
      <c r="AH37" s="30" t="n"/>
      <c r="AI37" s="30" t="n"/>
      <c r="AJ37" s="30" t="n"/>
      <c r="AK37" s="30" t="n"/>
      <c r="AL37" s="30" t="n"/>
      <c r="AM37" s="35">
        <f>IF(NOT(COUNTA(A37:AL37)&gt;0),"",IF(TEXTJOIN(", ",TRUE,IF(B37="","Название",""),IF(C37="","Тип недвижимости",""),IF(D37="","Страна",""),IF(E37="","Город",""),IF(F37="","Улица",""),IF(I37="","Валюта",""),IF(OR(AE37="",AE37&lt;1),"Хотя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земли",""),IF(OR(W37="",W37&lt;=0),"Продать сейчас",""),IF(OR(X37="",X37&lt;=0),"Минимальная цена продажи",""),IF(OR(Y37="",Y37&lt;=0),"Стартовая ставка",""),IF(Z37="","Начало аукциона",""),IF(AA37="","Окончание аукциона",""),IF(AND(W37&lt;&gt;"",X37&lt;&gt;"",X37&gt;W37),"Минимальная цена выше «Продать сейчас»",""),IF(AND(W37&lt;&gt;"",X37&lt;&gt;"",X37&lt;=W37,X37&gt;W37*0.9),"Минимальная цена выше 90% от «Продать сейчас»",""),IF(AND(W37&lt;&gt;"",Y37&lt;&gt;"",Y37&gt;W37*0.3),"Стартовая ставка выше 30% от «Продать сейчас»",""),IF(AND(Z37&lt;&gt;"",AA37&lt;&gt;"",AA37&lt;EDATE(Z37,3)+15),"Аукцион короче 3 месяцев и 15 дней",""),IF(AND(AB37="Да",OR(AC37="",AC37&lt;=0)),"Цена тест-драйва за сутки",""),IF(OR(AJ37="",AJ37="Нет"),"Право собственности",""),IF(OR(AK37="",AK37="Нет"),"Справка об отсутствии обременений",""))="","",TEXTJOIN(", ",TRUE,IF(B37="","Название",""),IF(C37="","Тип недвижимости",""),IF(D37="","Страна",""),IF(E37="","Город",""),IF(F37="","Улица",""),IF(I37="","Валюта",""),IF(OR(AE37="",AE37&lt;1),"Хотя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земли",""),IF(OR(W37="",W37&lt;=0),"Продать сейчас",""),IF(OR(X37="",X37&lt;=0),"Минимальная цена продажи",""),IF(OR(Y37="",Y37&lt;=0),"Стартовая ставка",""),IF(Z37="","Начало аукциона",""),IF(AA37="","Окончание аукциона",""),IF(AND(W37&lt;&gt;"",X37&lt;&gt;"",X37&gt;W37),"Минимальная цена выше «Продать сейчас»",""),IF(AND(W37&lt;&gt;"",X37&lt;&gt;"",X37&lt;=W37,X37&gt;W37*0.9),"Минимальная цена выше 90% от «Продать сейчас»",""),IF(AND(W37&lt;&gt;"",Y37&lt;&gt;"",Y37&gt;W37*0.3),"Стартовая ставка выше 30% от «Продать сейчас»",""),IF(AND(Z37&lt;&gt;"",AA37&lt;&gt;"",AA37&lt;EDATE(Z37,3)+15),"Аукцион короче 3 месяцев и 15 дней",""),IF(AND(AB37="Да",OR(AC37="",AC37&lt;=0)),"Цена тест-драйва за сутки",""),IF(OR(AJ37="",AJ37="Нет"),"Право собственности",""),IF(OR(AK37="",AK37="Нет"),"Справка об отсутствии обременений",""))))</f>
        <v/>
      </c>
      <c r="AN37" s="35">
        <f>IF(NOT(COUNTA(A37:AL37)&gt;0),"",IF(TEXTJOIN(", ",TRUE,IF(AH37="","Описание",""),IF(AND(AE37&lt;&gt;"",AE37&gt;=1,AE37&lt;5),"Фото меньше 5",""),IF(AG37="","Видео",""),IF(H37="","Кадастровый номер",""),IF(AF37="","Ссылка на фото",""))="","",TEXTJOIN(", ",TRUE,IF(AH37="","Описание",""),IF(AND(AE37&lt;&gt;"",AE37&gt;=1,AE37&lt;5),"Фото меньше 5",""),IF(AG37="","Видео",""),IF(H37="","Кадастровый номер",""),IF(AF37="","Ссылка на фото",""))))</f>
        <v/>
      </c>
      <c r="AO37" s="35">
        <f>IF(NOT(COUNTA(A37:AL37)&gt;0),"",IF(AM37="","Можно публиковать","Не хватает"))</f>
        <v/>
      </c>
    </row>
    <row r="38" ht="22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7" t="n"/>
      <c r="K38" s="37" t="n"/>
      <c r="L38" s="37" t="n"/>
      <c r="M38" s="38" t="n"/>
      <c r="N38" s="38" t="n"/>
      <c r="O38" s="38" t="n"/>
      <c r="P38" s="38" t="n"/>
      <c r="Q38" s="38" t="n"/>
      <c r="R38" s="38" t="n"/>
      <c r="S38" s="36" t="n"/>
      <c r="T38" s="36" t="n"/>
      <c r="U38" s="36" t="n"/>
      <c r="V38" s="36" t="n"/>
      <c r="W38" s="39" t="n"/>
      <c r="X38" s="39" t="n"/>
      <c r="Y38" s="39" t="n"/>
      <c r="Z38" s="40" t="n"/>
      <c r="AA38" s="40" t="n"/>
      <c r="AB38" s="36" t="n"/>
      <c r="AC38" s="39" t="n"/>
      <c r="AD38" s="39" t="n"/>
      <c r="AE38" s="38" t="n"/>
      <c r="AF38" s="36" t="n"/>
      <c r="AG38" s="36" t="n"/>
      <c r="AH38" s="36" t="n"/>
      <c r="AI38" s="36" t="n"/>
      <c r="AJ38" s="36" t="n"/>
      <c r="AK38" s="36" t="n"/>
      <c r="AL38" s="36" t="n"/>
      <c r="AM38" s="35">
        <f>IF(NOT(COUNTA(A38:AL38)&gt;0),"",IF(TEXTJOIN(", ",TRUE,IF(B38="","Название",""),IF(C38="","Тип недвижимости",""),IF(D38="","Страна",""),IF(E38="","Город",""),IF(F38="","Улица",""),IF(I38="","Валюта",""),IF(OR(AE38="",AE38&lt;1),"Хотя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земли",""),IF(OR(W38="",W38&lt;=0),"Продать сейчас",""),IF(OR(X38="",X38&lt;=0),"Минимальная цена продажи",""),IF(OR(Y38="",Y38&lt;=0),"Стартовая ставка",""),IF(Z38="","Начало аукциона",""),IF(AA38="","Окончание аукциона",""),IF(AND(W38&lt;&gt;"",X38&lt;&gt;"",X38&gt;W38),"Минимальная цена выше «Продать сейчас»",""),IF(AND(W38&lt;&gt;"",X38&lt;&gt;"",X38&lt;=W38,X38&gt;W38*0.9),"Минимальная цена выше 90% от «Продать сейчас»",""),IF(AND(W38&lt;&gt;"",Y38&lt;&gt;"",Y38&gt;W38*0.3),"Стартовая ставка выше 30% от «Продать сейчас»",""),IF(AND(Z38&lt;&gt;"",AA38&lt;&gt;"",AA38&lt;EDATE(Z38,3)+15),"Аукцион короче 3 месяцев и 15 дней",""),IF(AND(AB38="Да",OR(AC38="",AC38&lt;=0)),"Цена тест-драйва за сутки",""),IF(OR(AJ38="",AJ38="Нет"),"Право собственности",""),IF(OR(AK38="",AK38="Нет"),"Справка об отсутствии обременений",""))="","",TEXTJOIN(", ",TRUE,IF(B38="","Название",""),IF(C38="","Тип недвижимости",""),IF(D38="","Страна",""),IF(E38="","Город",""),IF(F38="","Улица",""),IF(I38="","Валюта",""),IF(OR(AE38="",AE38&lt;1),"Хотя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земли",""),IF(OR(W38="",W38&lt;=0),"Продать сейчас",""),IF(OR(X38="",X38&lt;=0),"Минимальная цена продажи",""),IF(OR(Y38="",Y38&lt;=0),"Стартовая ставка",""),IF(Z38="","Начало аукциона",""),IF(AA38="","Окончание аукциона",""),IF(AND(W38&lt;&gt;"",X38&lt;&gt;"",X38&gt;W38),"Минимальная цена выше «Продать сейчас»",""),IF(AND(W38&lt;&gt;"",X38&lt;&gt;"",X38&lt;=W38,X38&gt;W38*0.9),"Минимальная цена выше 90% от «Продать сейчас»",""),IF(AND(W38&lt;&gt;"",Y38&lt;&gt;"",Y38&gt;W38*0.3),"Стартовая ставка выше 30% от «Продать сейчас»",""),IF(AND(Z38&lt;&gt;"",AA38&lt;&gt;"",AA38&lt;EDATE(Z38,3)+15),"Аукцион короче 3 месяцев и 15 дней",""),IF(AND(AB38="Да",OR(AC38="",AC38&lt;=0)),"Цена тест-драйва за сутки",""),IF(OR(AJ38="",AJ38="Нет"),"Право собственности",""),IF(OR(AK38="",AK38="Нет"),"Справка об отсутствии обременений",""))))</f>
        <v/>
      </c>
      <c r="AN38" s="35">
        <f>IF(NOT(COUNTA(A38:AL38)&gt;0),"",IF(TEXTJOIN(", ",TRUE,IF(AH38="","Описание",""),IF(AND(AE38&lt;&gt;"",AE38&gt;=1,AE38&lt;5),"Фото меньше 5",""),IF(AG38="","Видео",""),IF(H38="","Кадастровый номер",""),IF(AF38="","Ссылка на фото",""))="","",TEXTJOIN(", ",TRUE,IF(AH38="","Описание",""),IF(AND(AE38&lt;&gt;"",AE38&gt;=1,AE38&lt;5),"Фото меньше 5",""),IF(AG38="","Видео",""),IF(H38="","Кадастровый номер",""),IF(AF38="","Ссылка на фото",""))))</f>
        <v/>
      </c>
      <c r="AO38" s="35">
        <f>IF(NOT(COUNTA(A38:AL38)&gt;0),"",IF(AM38="","Можно публиковать","Не хватает"))</f>
        <v/>
      </c>
    </row>
    <row r="39" ht="22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 t="n"/>
      <c r="K39" s="31" t="n"/>
      <c r="L39" s="31" t="n"/>
      <c r="M39" s="32" t="n"/>
      <c r="N39" s="32" t="n"/>
      <c r="O39" s="32" t="n"/>
      <c r="P39" s="32" t="n"/>
      <c r="Q39" s="32" t="n"/>
      <c r="R39" s="32" t="n"/>
      <c r="S39" s="30" t="n"/>
      <c r="T39" s="30" t="n"/>
      <c r="U39" s="30" t="n"/>
      <c r="V39" s="30" t="n"/>
      <c r="W39" s="33" t="n"/>
      <c r="X39" s="33" t="n"/>
      <c r="Y39" s="33" t="n"/>
      <c r="Z39" s="34" t="n"/>
      <c r="AA39" s="34" t="n"/>
      <c r="AB39" s="30" t="n"/>
      <c r="AC39" s="33" t="n"/>
      <c r="AD39" s="33" t="n"/>
      <c r="AE39" s="32" t="n"/>
      <c r="AF39" s="30" t="n"/>
      <c r="AG39" s="30" t="n"/>
      <c r="AH39" s="30" t="n"/>
      <c r="AI39" s="30" t="n"/>
      <c r="AJ39" s="30" t="n"/>
      <c r="AK39" s="30" t="n"/>
      <c r="AL39" s="30" t="n"/>
      <c r="AM39" s="35">
        <f>IF(NOT(COUNTA(A39:AL39)&gt;0),"",IF(TEXTJOIN(", ",TRUE,IF(B39="","Название",""),IF(C39="","Тип недвижимости",""),IF(D39="","Страна",""),IF(E39="","Город",""),IF(F39="","Улица",""),IF(I39="","Валюта",""),IF(OR(AE39="",AE39&lt;1),"Хотя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земли",""),IF(OR(W39="",W39&lt;=0),"Продать сейчас",""),IF(OR(X39="",X39&lt;=0),"Минимальная цена продажи",""),IF(OR(Y39="",Y39&lt;=0),"Стартовая ставка",""),IF(Z39="","Начало аукциона",""),IF(AA39="","Окончание аукциона",""),IF(AND(W39&lt;&gt;"",X39&lt;&gt;"",X39&gt;W39),"Минимальная цена выше «Продать сейчас»",""),IF(AND(W39&lt;&gt;"",X39&lt;&gt;"",X39&lt;=W39,X39&gt;W39*0.9),"Минимальная цена выше 90% от «Продать сейчас»",""),IF(AND(W39&lt;&gt;"",Y39&lt;&gt;"",Y39&gt;W39*0.3),"Стартовая ставка выше 30% от «Продать сейчас»",""),IF(AND(Z39&lt;&gt;"",AA39&lt;&gt;"",AA39&lt;EDATE(Z39,3)+15),"Аукцион короче 3 месяцев и 15 дней",""),IF(AND(AB39="Да",OR(AC39="",AC39&lt;=0)),"Цена тест-драйва за сутки",""),IF(OR(AJ39="",AJ39="Нет"),"Право собственности",""),IF(OR(AK39="",AK39="Нет"),"Справка об отсутствии обременений",""))="","",TEXTJOIN(", ",TRUE,IF(B39="","Название",""),IF(C39="","Тип недвижимости",""),IF(D39="","Страна",""),IF(E39="","Город",""),IF(F39="","Улица",""),IF(I39="","Валюта",""),IF(OR(AE39="",AE39&lt;1),"Хотя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земли",""),IF(OR(W39="",W39&lt;=0),"Продать сейчас",""),IF(OR(X39="",X39&lt;=0),"Минимальная цена продажи",""),IF(OR(Y39="",Y39&lt;=0),"Стартовая ставка",""),IF(Z39="","Начало аукциона",""),IF(AA39="","Окончание аукциона",""),IF(AND(W39&lt;&gt;"",X39&lt;&gt;"",X39&gt;W39),"Минимальная цена выше «Продать сейчас»",""),IF(AND(W39&lt;&gt;"",X39&lt;&gt;"",X39&lt;=W39,X39&gt;W39*0.9),"Минимальная цена выше 90% от «Продать сейчас»",""),IF(AND(W39&lt;&gt;"",Y39&lt;&gt;"",Y39&gt;W39*0.3),"Стартовая ставка выше 30% от «Продать сейчас»",""),IF(AND(Z39&lt;&gt;"",AA39&lt;&gt;"",AA39&lt;EDATE(Z39,3)+15),"Аукцион короче 3 месяцев и 15 дней",""),IF(AND(AB39="Да",OR(AC39="",AC39&lt;=0)),"Цена тест-драйва за сутки",""),IF(OR(AJ39="",AJ39="Нет"),"Право собственности",""),IF(OR(AK39="",AK39="Нет"),"Справка об отсутствии обременений",""))))</f>
        <v/>
      </c>
      <c r="AN39" s="35">
        <f>IF(NOT(COUNTA(A39:AL39)&gt;0),"",IF(TEXTJOIN(", ",TRUE,IF(AH39="","Описание",""),IF(AND(AE39&lt;&gt;"",AE39&gt;=1,AE39&lt;5),"Фото меньше 5",""),IF(AG39="","Видео",""),IF(H39="","Кадастровый номер",""),IF(AF39="","Ссылка на фото",""))="","",TEXTJOIN(", ",TRUE,IF(AH39="","Описание",""),IF(AND(AE39&lt;&gt;"",AE39&gt;=1,AE39&lt;5),"Фото меньше 5",""),IF(AG39="","Видео",""),IF(H39="","Кадастровый номер",""),IF(AF39="","Ссылка на фото",""))))</f>
        <v/>
      </c>
      <c r="AO39" s="35">
        <f>IF(NOT(COUNTA(A39:AL39)&gt;0),"",IF(AM39="","Можно публиковать","Не хватает"))</f>
        <v/>
      </c>
    </row>
    <row r="40" ht="22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7" t="n"/>
      <c r="K40" s="37" t="n"/>
      <c r="L40" s="37" t="n"/>
      <c r="M40" s="38" t="n"/>
      <c r="N40" s="38" t="n"/>
      <c r="O40" s="38" t="n"/>
      <c r="P40" s="38" t="n"/>
      <c r="Q40" s="38" t="n"/>
      <c r="R40" s="38" t="n"/>
      <c r="S40" s="36" t="n"/>
      <c r="T40" s="36" t="n"/>
      <c r="U40" s="36" t="n"/>
      <c r="V40" s="36" t="n"/>
      <c r="W40" s="39" t="n"/>
      <c r="X40" s="39" t="n"/>
      <c r="Y40" s="39" t="n"/>
      <c r="Z40" s="40" t="n"/>
      <c r="AA40" s="40" t="n"/>
      <c r="AB40" s="36" t="n"/>
      <c r="AC40" s="39" t="n"/>
      <c r="AD40" s="39" t="n"/>
      <c r="AE40" s="38" t="n"/>
      <c r="AF40" s="36" t="n"/>
      <c r="AG40" s="36" t="n"/>
      <c r="AH40" s="36" t="n"/>
      <c r="AI40" s="36" t="n"/>
      <c r="AJ40" s="36" t="n"/>
      <c r="AK40" s="36" t="n"/>
      <c r="AL40" s="36" t="n"/>
      <c r="AM40" s="35">
        <f>IF(NOT(COUNTA(A40:AL40)&gt;0),"",IF(TEXTJOIN(", ",TRUE,IF(B40="","Название",""),IF(C40="","Тип недвижимости",""),IF(D40="","Страна",""),IF(E40="","Город",""),IF(F40="","Улица",""),IF(I40="","Валюта",""),IF(OR(AE40="",AE40&lt;1),"Хотя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земли",""),IF(OR(W40="",W40&lt;=0),"Продать сейчас",""),IF(OR(X40="",X40&lt;=0),"Минимальная цена продажи",""),IF(OR(Y40="",Y40&lt;=0),"Стартовая ставка",""),IF(Z40="","Начало аукциона",""),IF(AA40="","Окончание аукциона",""),IF(AND(W40&lt;&gt;"",X40&lt;&gt;"",X40&gt;W40),"Минимальная цена выше «Продать сейчас»",""),IF(AND(W40&lt;&gt;"",X40&lt;&gt;"",X40&lt;=W40,X40&gt;W40*0.9),"Минимальная цена выше 90% от «Продать сейчас»",""),IF(AND(W40&lt;&gt;"",Y40&lt;&gt;"",Y40&gt;W40*0.3),"Стартовая ставка выше 30% от «Продать сейчас»",""),IF(AND(Z40&lt;&gt;"",AA40&lt;&gt;"",AA40&lt;EDATE(Z40,3)+15),"Аукцион короче 3 месяцев и 15 дней",""),IF(AND(AB40="Да",OR(AC40="",AC40&lt;=0)),"Цена тест-драйва за сутки",""),IF(OR(AJ40="",AJ40="Нет"),"Право собственности",""),IF(OR(AK40="",AK40="Нет"),"Справка об отсутствии обременений",""))="","",TEXTJOIN(", ",TRUE,IF(B40="","Название",""),IF(C40="","Тип недвижимости",""),IF(D40="","Страна",""),IF(E40="","Город",""),IF(F40="","Улица",""),IF(I40="","Валюта",""),IF(OR(AE40="",AE40&lt;1),"Хотя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земли",""),IF(OR(W40="",W40&lt;=0),"Продать сейчас",""),IF(OR(X40="",X40&lt;=0),"Минимальная цена продажи",""),IF(OR(Y40="",Y40&lt;=0),"Стартовая ставка",""),IF(Z40="","Начало аукциона",""),IF(AA40="","Окончание аукциона",""),IF(AND(W40&lt;&gt;"",X40&lt;&gt;"",X40&gt;W40),"Минимальная цена выше «Продать сейчас»",""),IF(AND(W40&lt;&gt;"",X40&lt;&gt;"",X40&lt;=W40,X40&gt;W40*0.9),"Минимальная цена выше 90% от «Продать сейчас»",""),IF(AND(W40&lt;&gt;"",Y40&lt;&gt;"",Y40&gt;W40*0.3),"Стартовая ставка выше 30% от «Продать сейчас»",""),IF(AND(Z40&lt;&gt;"",AA40&lt;&gt;"",AA40&lt;EDATE(Z40,3)+15),"Аукцион короче 3 месяцев и 15 дней",""),IF(AND(AB40="Да",OR(AC40="",AC40&lt;=0)),"Цена тест-драйва за сутки",""),IF(OR(AJ40="",AJ40="Нет"),"Право собственности",""),IF(OR(AK40="",AK40="Нет"),"Справка об отсутствии обременений",""))))</f>
        <v/>
      </c>
      <c r="AN40" s="35">
        <f>IF(NOT(COUNTA(A40:AL40)&gt;0),"",IF(TEXTJOIN(", ",TRUE,IF(AH40="","Описание",""),IF(AND(AE40&lt;&gt;"",AE40&gt;=1,AE40&lt;5),"Фото меньше 5",""),IF(AG40="","Видео",""),IF(H40="","Кадастровый номер",""),IF(AF40="","Ссылка на фото",""))="","",TEXTJOIN(", ",TRUE,IF(AH40="","Описание",""),IF(AND(AE40&lt;&gt;"",AE40&gt;=1,AE40&lt;5),"Фото меньше 5",""),IF(AG40="","Видео",""),IF(H40="","Кадастровый номер",""),IF(AF40="","Ссылка на фото",""))))</f>
        <v/>
      </c>
      <c r="AO40" s="35">
        <f>IF(NOT(COUNTA(A40:AL40)&gt;0),"",IF(AM40="","Можно публиковать","Не хватает"))</f>
        <v/>
      </c>
    </row>
    <row r="41" ht="22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  <c r="K41" s="31" t="n"/>
      <c r="L41" s="31" t="n"/>
      <c r="M41" s="32" t="n"/>
      <c r="N41" s="32" t="n"/>
      <c r="O41" s="32" t="n"/>
      <c r="P41" s="32" t="n"/>
      <c r="Q41" s="32" t="n"/>
      <c r="R41" s="32" t="n"/>
      <c r="S41" s="30" t="n"/>
      <c r="T41" s="30" t="n"/>
      <c r="U41" s="30" t="n"/>
      <c r="V41" s="30" t="n"/>
      <c r="W41" s="33" t="n"/>
      <c r="X41" s="33" t="n"/>
      <c r="Y41" s="33" t="n"/>
      <c r="Z41" s="34" t="n"/>
      <c r="AA41" s="34" t="n"/>
      <c r="AB41" s="30" t="n"/>
      <c r="AC41" s="33" t="n"/>
      <c r="AD41" s="33" t="n"/>
      <c r="AE41" s="32" t="n"/>
      <c r="AF41" s="30" t="n"/>
      <c r="AG41" s="30" t="n"/>
      <c r="AH41" s="30" t="n"/>
      <c r="AI41" s="30" t="n"/>
      <c r="AJ41" s="30" t="n"/>
      <c r="AK41" s="30" t="n"/>
      <c r="AL41" s="30" t="n"/>
      <c r="AM41" s="35">
        <f>IF(NOT(COUNTA(A41:AL41)&gt;0),"",IF(TEXTJOIN(", ",TRUE,IF(B41="","Название",""),IF(C41="","Тип недвижимости",""),IF(D41="","Страна",""),IF(E41="","Город",""),IF(F41="","Улица",""),IF(I41="","Валюта",""),IF(OR(AE41="",AE41&lt;1),"Хотя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земли",""),IF(OR(W41="",W41&lt;=0),"Продать сейчас",""),IF(OR(X41="",X41&lt;=0),"Минимальная цена продажи",""),IF(OR(Y41="",Y41&lt;=0),"Стартовая ставка",""),IF(Z41="","Начало аукциона",""),IF(AA41="","Окончание аукциона",""),IF(AND(W41&lt;&gt;"",X41&lt;&gt;"",X41&gt;W41),"Минимальная цена выше «Продать сейчас»",""),IF(AND(W41&lt;&gt;"",X41&lt;&gt;"",X41&lt;=W41,X41&gt;W41*0.9),"Минимальная цена выше 90% от «Продать сейчас»",""),IF(AND(W41&lt;&gt;"",Y41&lt;&gt;"",Y41&gt;W41*0.3),"Стартовая ставка выше 30% от «Продать сейчас»",""),IF(AND(Z41&lt;&gt;"",AA41&lt;&gt;"",AA41&lt;EDATE(Z41,3)+15),"Аукцион короче 3 месяцев и 15 дней",""),IF(AND(AB41="Да",OR(AC41="",AC41&lt;=0)),"Цена тест-драйва за сутки",""),IF(OR(AJ41="",AJ41="Нет"),"Право собственности",""),IF(OR(AK41="",AK41="Нет"),"Справка об отсутствии обременений",""))="","",TEXTJOIN(", ",TRUE,IF(B41="","Название",""),IF(C41="","Тип недвижимости",""),IF(D41="","Страна",""),IF(E41="","Город",""),IF(F41="","Улица",""),IF(I41="","Валюта",""),IF(OR(AE41="",AE41&lt;1),"Хотя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земли",""),IF(OR(W41="",W41&lt;=0),"Продать сейчас",""),IF(OR(X41="",X41&lt;=0),"Минимальная цена продажи",""),IF(OR(Y41="",Y41&lt;=0),"Стартовая ставка",""),IF(Z41="","Начало аукциона",""),IF(AA41="","Окончание аукциона",""),IF(AND(W41&lt;&gt;"",X41&lt;&gt;"",X41&gt;W41),"Минимальная цена выше «Продать сейчас»",""),IF(AND(W41&lt;&gt;"",X41&lt;&gt;"",X41&lt;=W41,X41&gt;W41*0.9),"Минимальная цена выше 90% от «Продать сейчас»",""),IF(AND(W41&lt;&gt;"",Y41&lt;&gt;"",Y41&gt;W41*0.3),"Стартовая ставка выше 30% от «Продать сейчас»",""),IF(AND(Z41&lt;&gt;"",AA41&lt;&gt;"",AA41&lt;EDATE(Z41,3)+15),"Аукцион короче 3 месяцев и 15 дней",""),IF(AND(AB41="Да",OR(AC41="",AC41&lt;=0)),"Цена тест-драйва за сутки",""),IF(OR(AJ41="",AJ41="Нет"),"Право собственности",""),IF(OR(AK41="",AK41="Нет"),"Справка об отсутствии обременений",""))))</f>
        <v/>
      </c>
      <c r="AN41" s="35">
        <f>IF(NOT(COUNTA(A41:AL41)&gt;0),"",IF(TEXTJOIN(", ",TRUE,IF(AH41="","Описание",""),IF(AND(AE41&lt;&gt;"",AE41&gt;=1,AE41&lt;5),"Фото меньше 5",""),IF(AG41="","Видео",""),IF(H41="","Кадастровый номер",""),IF(AF41="","Ссылка на фото",""))="","",TEXTJOIN(", ",TRUE,IF(AH41="","Описание",""),IF(AND(AE41&lt;&gt;"",AE41&gt;=1,AE41&lt;5),"Фото меньше 5",""),IF(AG41="","Видео",""),IF(H41="","Кадастровый номер",""),IF(AF41="","Ссылка на фото",""))))</f>
        <v/>
      </c>
      <c r="AO41" s="35">
        <f>IF(NOT(COUNTA(A41:AL41)&gt;0),"",IF(AM41="","Можно публиковать","Не хватает"))</f>
        <v/>
      </c>
    </row>
    <row r="42" ht="22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7" t="n"/>
      <c r="K42" s="37" t="n"/>
      <c r="L42" s="37" t="n"/>
      <c r="M42" s="38" t="n"/>
      <c r="N42" s="38" t="n"/>
      <c r="O42" s="38" t="n"/>
      <c r="P42" s="38" t="n"/>
      <c r="Q42" s="38" t="n"/>
      <c r="R42" s="38" t="n"/>
      <c r="S42" s="36" t="n"/>
      <c r="T42" s="36" t="n"/>
      <c r="U42" s="36" t="n"/>
      <c r="V42" s="36" t="n"/>
      <c r="W42" s="39" t="n"/>
      <c r="X42" s="39" t="n"/>
      <c r="Y42" s="39" t="n"/>
      <c r="Z42" s="40" t="n"/>
      <c r="AA42" s="40" t="n"/>
      <c r="AB42" s="36" t="n"/>
      <c r="AC42" s="39" t="n"/>
      <c r="AD42" s="39" t="n"/>
      <c r="AE42" s="38" t="n"/>
      <c r="AF42" s="36" t="n"/>
      <c r="AG42" s="36" t="n"/>
      <c r="AH42" s="36" t="n"/>
      <c r="AI42" s="36" t="n"/>
      <c r="AJ42" s="36" t="n"/>
      <c r="AK42" s="36" t="n"/>
      <c r="AL42" s="36" t="n"/>
      <c r="AM42" s="35">
        <f>IF(NOT(COUNTA(A42:AL42)&gt;0),"",IF(TEXTJOIN(", ",TRUE,IF(B42="","Название",""),IF(C42="","Тип недвижимости",""),IF(D42="","Страна",""),IF(E42="","Город",""),IF(F42="","Улица",""),IF(I42="","Валюта",""),IF(OR(AE42="",AE42&lt;1),"Хотя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земли",""),IF(OR(W42="",W42&lt;=0),"Продать сейчас",""),IF(OR(X42="",X42&lt;=0),"Минимальная цена продажи",""),IF(OR(Y42="",Y42&lt;=0),"Стартовая ставка",""),IF(Z42="","Начало аукциона",""),IF(AA42="","Окончание аукциона",""),IF(AND(W42&lt;&gt;"",X42&lt;&gt;"",X42&gt;W42),"Минимальная цена выше «Продать сейчас»",""),IF(AND(W42&lt;&gt;"",X42&lt;&gt;"",X42&lt;=W42,X42&gt;W42*0.9),"Минимальная цена выше 90% от «Продать сейчас»",""),IF(AND(W42&lt;&gt;"",Y42&lt;&gt;"",Y42&gt;W42*0.3),"Стартовая ставка выше 30% от «Продать сейчас»",""),IF(AND(Z42&lt;&gt;"",AA42&lt;&gt;"",AA42&lt;EDATE(Z42,3)+15),"Аукцион короче 3 месяцев и 15 дней",""),IF(AND(AB42="Да",OR(AC42="",AC42&lt;=0)),"Цена тест-драйва за сутки",""),IF(OR(AJ42="",AJ42="Нет"),"Право собственности",""),IF(OR(AK42="",AK42="Нет"),"Справка об отсутствии обременений",""))="","",TEXTJOIN(", ",TRUE,IF(B42="","Название",""),IF(C42="","Тип недвижимости",""),IF(D42="","Страна",""),IF(E42="","Город",""),IF(F42="","Улица",""),IF(I42="","Валюта",""),IF(OR(AE42="",AE42&lt;1),"Хотя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земли",""),IF(OR(W42="",W42&lt;=0),"Продать сейчас",""),IF(OR(X42="",X42&lt;=0),"Минимальная цена продажи",""),IF(OR(Y42="",Y42&lt;=0),"Стартовая ставка",""),IF(Z42="","Начало аукциона",""),IF(AA42="","Окончание аукциона",""),IF(AND(W42&lt;&gt;"",X42&lt;&gt;"",X42&gt;W42),"Минимальная цена выше «Продать сейчас»",""),IF(AND(W42&lt;&gt;"",X42&lt;&gt;"",X42&lt;=W42,X42&gt;W42*0.9),"Минимальная цена выше 90% от «Продать сейчас»",""),IF(AND(W42&lt;&gt;"",Y42&lt;&gt;"",Y42&gt;W42*0.3),"Стартовая ставка выше 30% от «Продать сейчас»",""),IF(AND(Z42&lt;&gt;"",AA42&lt;&gt;"",AA42&lt;EDATE(Z42,3)+15),"Аукцион короче 3 месяцев и 15 дней",""),IF(AND(AB42="Да",OR(AC42="",AC42&lt;=0)),"Цена тест-драйва за сутки",""),IF(OR(AJ42="",AJ42="Нет"),"Право собственности",""),IF(OR(AK42="",AK42="Нет"),"Справка об отсутствии обременений",""))))</f>
        <v/>
      </c>
      <c r="AN42" s="35">
        <f>IF(NOT(COUNTA(A42:AL42)&gt;0),"",IF(TEXTJOIN(", ",TRUE,IF(AH42="","Описание",""),IF(AND(AE42&lt;&gt;"",AE42&gt;=1,AE42&lt;5),"Фото меньше 5",""),IF(AG42="","Видео",""),IF(H42="","Кадастровый номер",""),IF(AF42="","Ссылка на фото",""))="","",TEXTJOIN(", ",TRUE,IF(AH42="","Описание",""),IF(AND(AE42&lt;&gt;"",AE42&gt;=1,AE42&lt;5),"Фото меньше 5",""),IF(AG42="","Видео",""),IF(H42="","Кадастровый номер",""),IF(AF42="","Ссылка на фото",""))))</f>
        <v/>
      </c>
      <c r="AO42" s="35">
        <f>IF(NOT(COUNTA(A42:AL42)&gt;0),"",IF(AM42="","Можно публиковать","Не хватает"))</f>
        <v/>
      </c>
    </row>
    <row r="43" ht="22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 t="n"/>
      <c r="K43" s="31" t="n"/>
      <c r="L43" s="31" t="n"/>
      <c r="M43" s="32" t="n"/>
      <c r="N43" s="32" t="n"/>
      <c r="O43" s="32" t="n"/>
      <c r="P43" s="32" t="n"/>
      <c r="Q43" s="32" t="n"/>
      <c r="R43" s="32" t="n"/>
      <c r="S43" s="30" t="n"/>
      <c r="T43" s="30" t="n"/>
      <c r="U43" s="30" t="n"/>
      <c r="V43" s="30" t="n"/>
      <c r="W43" s="33" t="n"/>
      <c r="X43" s="33" t="n"/>
      <c r="Y43" s="33" t="n"/>
      <c r="Z43" s="34" t="n"/>
      <c r="AA43" s="34" t="n"/>
      <c r="AB43" s="30" t="n"/>
      <c r="AC43" s="33" t="n"/>
      <c r="AD43" s="33" t="n"/>
      <c r="AE43" s="32" t="n"/>
      <c r="AF43" s="30" t="n"/>
      <c r="AG43" s="30" t="n"/>
      <c r="AH43" s="30" t="n"/>
      <c r="AI43" s="30" t="n"/>
      <c r="AJ43" s="30" t="n"/>
      <c r="AK43" s="30" t="n"/>
      <c r="AL43" s="30" t="n"/>
      <c r="AM43" s="35">
        <f>IF(NOT(COUNTA(A43:AL43)&gt;0),"",IF(TEXTJOIN(", ",TRUE,IF(B43="","Название",""),IF(C43="","Тип недвижимости",""),IF(D43="","Страна",""),IF(E43="","Город",""),IF(F43="","Улица",""),IF(I43="","Валюта",""),IF(OR(AE43="",AE43&lt;1),"Хотя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земли",""),IF(OR(W43="",W43&lt;=0),"Продать сейчас",""),IF(OR(X43="",X43&lt;=0),"Минимальная цена продажи",""),IF(OR(Y43="",Y43&lt;=0),"Стартовая ставка",""),IF(Z43="","Начало аукциона",""),IF(AA43="","Окончание аукциона",""),IF(AND(W43&lt;&gt;"",X43&lt;&gt;"",X43&gt;W43),"Минимальная цена выше «Продать сейчас»",""),IF(AND(W43&lt;&gt;"",X43&lt;&gt;"",X43&lt;=W43,X43&gt;W43*0.9),"Минимальная цена выше 90% от «Продать сейчас»",""),IF(AND(W43&lt;&gt;"",Y43&lt;&gt;"",Y43&gt;W43*0.3),"Стартовая ставка выше 30% от «Продать сейчас»",""),IF(AND(Z43&lt;&gt;"",AA43&lt;&gt;"",AA43&lt;EDATE(Z43,3)+15),"Аукцион короче 3 месяцев и 15 дней",""),IF(AND(AB43="Да",OR(AC43="",AC43&lt;=0)),"Цена тест-драйва за сутки",""),IF(OR(AJ43="",AJ43="Нет"),"Право собственности",""),IF(OR(AK43="",AK43="Нет"),"Справка об отсутствии обременений",""))="","",TEXTJOIN(", ",TRUE,IF(B43="","Название",""),IF(C43="","Тип недвижимости",""),IF(D43="","Страна",""),IF(E43="","Город",""),IF(F43="","Улица",""),IF(I43="","Валюта",""),IF(OR(AE43="",AE43&lt;1),"Хотя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земли",""),IF(OR(W43="",W43&lt;=0),"Продать сейчас",""),IF(OR(X43="",X43&lt;=0),"Минимальная цена продажи",""),IF(OR(Y43="",Y43&lt;=0),"Стартовая ставка",""),IF(Z43="","Начало аукциона",""),IF(AA43="","Окончание аукциона",""),IF(AND(W43&lt;&gt;"",X43&lt;&gt;"",X43&gt;W43),"Минимальная цена выше «Продать сейчас»",""),IF(AND(W43&lt;&gt;"",X43&lt;&gt;"",X43&lt;=W43,X43&gt;W43*0.9),"Минимальная цена выше 90% от «Продать сейчас»",""),IF(AND(W43&lt;&gt;"",Y43&lt;&gt;"",Y43&gt;W43*0.3),"Стартовая ставка выше 30% от «Продать сейчас»",""),IF(AND(Z43&lt;&gt;"",AA43&lt;&gt;"",AA43&lt;EDATE(Z43,3)+15),"Аукцион короче 3 месяцев и 15 дней",""),IF(AND(AB43="Да",OR(AC43="",AC43&lt;=0)),"Цена тест-драйва за сутки",""),IF(OR(AJ43="",AJ43="Нет"),"Право собственности",""),IF(OR(AK43="",AK43="Нет"),"Справка об отсутствии обременений",""))))</f>
        <v/>
      </c>
      <c r="AN43" s="35">
        <f>IF(NOT(COUNTA(A43:AL43)&gt;0),"",IF(TEXTJOIN(", ",TRUE,IF(AH43="","Описание",""),IF(AND(AE43&lt;&gt;"",AE43&gt;=1,AE43&lt;5),"Фото меньше 5",""),IF(AG43="","Видео",""),IF(H43="","Кадастровый номер",""),IF(AF43="","Ссылка на фото",""))="","",TEXTJOIN(", ",TRUE,IF(AH43="","Описание",""),IF(AND(AE43&lt;&gt;"",AE43&gt;=1,AE43&lt;5),"Фото меньше 5",""),IF(AG43="","Видео",""),IF(H43="","Кадастровый номер",""),IF(AF43="","Ссылка на фото",""))))</f>
        <v/>
      </c>
      <c r="AO43" s="35">
        <f>IF(NOT(COUNTA(A43:AL43)&gt;0),"",IF(AM43="","Можно публиковать","Не хватает"))</f>
        <v/>
      </c>
    </row>
    <row r="44" ht="22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7" t="n"/>
      <c r="K44" s="37" t="n"/>
      <c r="L44" s="37" t="n"/>
      <c r="M44" s="38" t="n"/>
      <c r="N44" s="38" t="n"/>
      <c r="O44" s="38" t="n"/>
      <c r="P44" s="38" t="n"/>
      <c r="Q44" s="38" t="n"/>
      <c r="R44" s="38" t="n"/>
      <c r="S44" s="36" t="n"/>
      <c r="T44" s="36" t="n"/>
      <c r="U44" s="36" t="n"/>
      <c r="V44" s="36" t="n"/>
      <c r="W44" s="39" t="n"/>
      <c r="X44" s="39" t="n"/>
      <c r="Y44" s="39" t="n"/>
      <c r="Z44" s="40" t="n"/>
      <c r="AA44" s="40" t="n"/>
      <c r="AB44" s="36" t="n"/>
      <c r="AC44" s="39" t="n"/>
      <c r="AD44" s="39" t="n"/>
      <c r="AE44" s="38" t="n"/>
      <c r="AF44" s="36" t="n"/>
      <c r="AG44" s="36" t="n"/>
      <c r="AH44" s="36" t="n"/>
      <c r="AI44" s="36" t="n"/>
      <c r="AJ44" s="36" t="n"/>
      <c r="AK44" s="36" t="n"/>
      <c r="AL44" s="36" t="n"/>
      <c r="AM44" s="35">
        <f>IF(NOT(COUNTA(A44:AL44)&gt;0),"",IF(TEXTJOIN(", ",TRUE,IF(B44="","Название",""),IF(C44="","Тип недвижимости",""),IF(D44="","Страна",""),IF(E44="","Город",""),IF(F44="","Улица",""),IF(I44="","Валюта",""),IF(OR(AE44="",AE44&lt;1),"Хотя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земли",""),IF(OR(W44="",W44&lt;=0),"Продать сейчас",""),IF(OR(X44="",X44&lt;=0),"Минимальная цена продажи",""),IF(OR(Y44="",Y44&lt;=0),"Стартовая ставка",""),IF(Z44="","Начало аукциона",""),IF(AA44="","Окончание аукциона",""),IF(AND(W44&lt;&gt;"",X44&lt;&gt;"",X44&gt;W44),"Минимальная цена выше «Продать сейчас»",""),IF(AND(W44&lt;&gt;"",X44&lt;&gt;"",X44&lt;=W44,X44&gt;W44*0.9),"Минимальная цена выше 90% от «Продать сейчас»",""),IF(AND(W44&lt;&gt;"",Y44&lt;&gt;"",Y44&gt;W44*0.3),"Стартовая ставка выше 30% от «Продать сейчас»",""),IF(AND(Z44&lt;&gt;"",AA44&lt;&gt;"",AA44&lt;EDATE(Z44,3)+15),"Аукцион короче 3 месяцев и 15 дней",""),IF(AND(AB44="Да",OR(AC44="",AC44&lt;=0)),"Цена тест-драйва за сутки",""),IF(OR(AJ44="",AJ44="Нет"),"Право собственности",""),IF(OR(AK44="",AK44="Нет"),"Справка об отсутствии обременений",""))="","",TEXTJOIN(", ",TRUE,IF(B44="","Название",""),IF(C44="","Тип недвижимости",""),IF(D44="","Страна",""),IF(E44="","Город",""),IF(F44="","Улица",""),IF(I44="","Валюта",""),IF(OR(AE44="",AE44&lt;1),"Хотя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земли",""),IF(OR(W44="",W44&lt;=0),"Продать сейчас",""),IF(OR(X44="",X44&lt;=0),"Минимальная цена продажи",""),IF(OR(Y44="",Y44&lt;=0),"Стартовая ставка",""),IF(Z44="","Начало аукциона",""),IF(AA44="","Окончание аукциона",""),IF(AND(W44&lt;&gt;"",X44&lt;&gt;"",X44&gt;W44),"Минимальная цена выше «Продать сейчас»",""),IF(AND(W44&lt;&gt;"",X44&lt;&gt;"",X44&lt;=W44,X44&gt;W44*0.9),"Минимальная цена выше 90% от «Продать сейчас»",""),IF(AND(W44&lt;&gt;"",Y44&lt;&gt;"",Y44&gt;W44*0.3),"Стартовая ставка выше 30% от «Продать сейчас»",""),IF(AND(Z44&lt;&gt;"",AA44&lt;&gt;"",AA44&lt;EDATE(Z44,3)+15),"Аукцион короче 3 месяцев и 15 дней",""),IF(AND(AB44="Да",OR(AC44="",AC44&lt;=0)),"Цена тест-драйва за сутки",""),IF(OR(AJ44="",AJ44="Нет"),"Право собственности",""),IF(OR(AK44="",AK44="Нет"),"Справка об отсутствии обременений",""))))</f>
        <v/>
      </c>
      <c r="AN44" s="35">
        <f>IF(NOT(COUNTA(A44:AL44)&gt;0),"",IF(TEXTJOIN(", ",TRUE,IF(AH44="","Описание",""),IF(AND(AE44&lt;&gt;"",AE44&gt;=1,AE44&lt;5),"Фото меньше 5",""),IF(AG44="","Видео",""),IF(H44="","Кадастровый номер",""),IF(AF44="","Ссылка на фото",""))="","",TEXTJOIN(", ",TRUE,IF(AH44="","Описание",""),IF(AND(AE44&lt;&gt;"",AE44&gt;=1,AE44&lt;5),"Фото меньше 5",""),IF(AG44="","Видео",""),IF(H44="","Кадастровый номер",""),IF(AF44="","Ссылка на фото",""))))</f>
        <v/>
      </c>
      <c r="AO44" s="35">
        <f>IF(NOT(COUNTA(A44:AL44)&gt;0),"",IF(AM44="","Можно публиковать","Не хватает"))</f>
        <v/>
      </c>
    </row>
    <row r="45" ht="22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31" t="n"/>
      <c r="L45" s="31" t="n"/>
      <c r="M45" s="32" t="n"/>
      <c r="N45" s="32" t="n"/>
      <c r="O45" s="32" t="n"/>
      <c r="P45" s="32" t="n"/>
      <c r="Q45" s="32" t="n"/>
      <c r="R45" s="32" t="n"/>
      <c r="S45" s="30" t="n"/>
      <c r="T45" s="30" t="n"/>
      <c r="U45" s="30" t="n"/>
      <c r="V45" s="30" t="n"/>
      <c r="W45" s="33" t="n"/>
      <c r="X45" s="33" t="n"/>
      <c r="Y45" s="33" t="n"/>
      <c r="Z45" s="34" t="n"/>
      <c r="AA45" s="34" t="n"/>
      <c r="AB45" s="30" t="n"/>
      <c r="AC45" s="33" t="n"/>
      <c r="AD45" s="33" t="n"/>
      <c r="AE45" s="32" t="n"/>
      <c r="AF45" s="30" t="n"/>
      <c r="AG45" s="30" t="n"/>
      <c r="AH45" s="30" t="n"/>
      <c r="AI45" s="30" t="n"/>
      <c r="AJ45" s="30" t="n"/>
      <c r="AK45" s="30" t="n"/>
      <c r="AL45" s="30" t="n"/>
      <c r="AM45" s="35">
        <f>IF(NOT(COUNTA(A45:AL45)&gt;0),"",IF(TEXTJOIN(", ",TRUE,IF(B45="","Название",""),IF(C45="","Тип недвижимости",""),IF(D45="","Страна",""),IF(E45="","Город",""),IF(F45="","Улица",""),IF(I45="","Валюта",""),IF(OR(AE45="",AE45&lt;1),"Хотя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земли",""),IF(OR(W45="",W45&lt;=0),"Продать сейчас",""),IF(OR(X45="",X45&lt;=0),"Минимальная цена продажи",""),IF(OR(Y45="",Y45&lt;=0),"Стартовая ставка",""),IF(Z45="","Начало аукциона",""),IF(AA45="","Окончание аукциона",""),IF(AND(W45&lt;&gt;"",X45&lt;&gt;"",X45&gt;W45),"Минимальная цена выше «Продать сейчас»",""),IF(AND(W45&lt;&gt;"",X45&lt;&gt;"",X45&lt;=W45,X45&gt;W45*0.9),"Минимальная цена выше 90% от «Продать сейчас»",""),IF(AND(W45&lt;&gt;"",Y45&lt;&gt;"",Y45&gt;W45*0.3),"Стартовая ставка выше 30% от «Продать сейчас»",""),IF(AND(Z45&lt;&gt;"",AA45&lt;&gt;"",AA45&lt;EDATE(Z45,3)+15),"Аукцион короче 3 месяцев и 15 дней",""),IF(AND(AB45="Да",OR(AC45="",AC45&lt;=0)),"Цена тест-драйва за сутки",""),IF(OR(AJ45="",AJ45="Нет"),"Право собственности",""),IF(OR(AK45="",AK45="Нет"),"Справка об отсутствии обременений",""))="","",TEXTJOIN(", ",TRUE,IF(B45="","Название",""),IF(C45="","Тип недвижимости",""),IF(D45="","Страна",""),IF(E45="","Город",""),IF(F45="","Улица",""),IF(I45="","Валюта",""),IF(OR(AE45="",AE45&lt;1),"Хотя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земли",""),IF(OR(W45="",W45&lt;=0),"Продать сейчас",""),IF(OR(X45="",X45&lt;=0),"Минимальная цена продажи",""),IF(OR(Y45="",Y45&lt;=0),"Стартовая ставка",""),IF(Z45="","Начало аукциона",""),IF(AA45="","Окончание аукциона",""),IF(AND(W45&lt;&gt;"",X45&lt;&gt;"",X45&gt;W45),"Минимальная цена выше «Продать сейчас»",""),IF(AND(W45&lt;&gt;"",X45&lt;&gt;"",X45&lt;=W45,X45&gt;W45*0.9),"Минимальная цена выше 90% от «Продать сейчас»",""),IF(AND(W45&lt;&gt;"",Y45&lt;&gt;"",Y45&gt;W45*0.3),"Стартовая ставка выше 30% от «Продать сейчас»",""),IF(AND(Z45&lt;&gt;"",AA45&lt;&gt;"",AA45&lt;EDATE(Z45,3)+15),"Аукцион короче 3 месяцев и 15 дней",""),IF(AND(AB45="Да",OR(AC45="",AC45&lt;=0)),"Цена тест-драйва за сутки",""),IF(OR(AJ45="",AJ45="Нет"),"Право собственности",""),IF(OR(AK45="",AK45="Нет"),"Справка об отсутствии обременений",""))))</f>
        <v/>
      </c>
      <c r="AN45" s="35">
        <f>IF(NOT(COUNTA(A45:AL45)&gt;0),"",IF(TEXTJOIN(", ",TRUE,IF(AH45="","Описание",""),IF(AND(AE45&lt;&gt;"",AE45&gt;=1,AE45&lt;5),"Фото меньше 5",""),IF(AG45="","Видео",""),IF(H45="","Кадастровый номер",""),IF(AF45="","Ссылка на фото",""))="","",TEXTJOIN(", ",TRUE,IF(AH45="","Описание",""),IF(AND(AE45&lt;&gt;"",AE45&gt;=1,AE45&lt;5),"Фото меньше 5",""),IF(AG45="","Видео",""),IF(H45="","Кадастровый номер",""),IF(AF45="","Ссылка на фото",""))))</f>
        <v/>
      </c>
      <c r="AO45" s="35">
        <f>IF(NOT(COUNTA(A45:AL45)&gt;0),"",IF(AM45="","Можно публиковать","Не хватает"))</f>
        <v/>
      </c>
    </row>
    <row r="46" ht="22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7" t="n"/>
      <c r="K46" s="37" t="n"/>
      <c r="L46" s="37" t="n"/>
      <c r="M46" s="38" t="n"/>
      <c r="N46" s="38" t="n"/>
      <c r="O46" s="38" t="n"/>
      <c r="P46" s="38" t="n"/>
      <c r="Q46" s="38" t="n"/>
      <c r="R46" s="38" t="n"/>
      <c r="S46" s="36" t="n"/>
      <c r="T46" s="36" t="n"/>
      <c r="U46" s="36" t="n"/>
      <c r="V46" s="36" t="n"/>
      <c r="W46" s="39" t="n"/>
      <c r="X46" s="39" t="n"/>
      <c r="Y46" s="39" t="n"/>
      <c r="Z46" s="40" t="n"/>
      <c r="AA46" s="40" t="n"/>
      <c r="AB46" s="36" t="n"/>
      <c r="AC46" s="39" t="n"/>
      <c r="AD46" s="39" t="n"/>
      <c r="AE46" s="38" t="n"/>
      <c r="AF46" s="36" t="n"/>
      <c r="AG46" s="36" t="n"/>
      <c r="AH46" s="36" t="n"/>
      <c r="AI46" s="36" t="n"/>
      <c r="AJ46" s="36" t="n"/>
      <c r="AK46" s="36" t="n"/>
      <c r="AL46" s="36" t="n"/>
      <c r="AM46" s="35">
        <f>IF(NOT(COUNTA(A46:AL46)&gt;0),"",IF(TEXTJOIN(", ",TRUE,IF(B46="","Название",""),IF(C46="","Тип недвижимости",""),IF(D46="","Страна",""),IF(E46="","Город",""),IF(F46="","Улица",""),IF(I46="","Валюта",""),IF(OR(AE46="",AE46&lt;1),"Хотя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земли",""),IF(OR(W46="",W46&lt;=0),"Продать сейчас",""),IF(OR(X46="",X46&lt;=0),"Минимальная цена продажи",""),IF(OR(Y46="",Y46&lt;=0),"Стартовая ставка",""),IF(Z46="","Начало аукциона",""),IF(AA46="","Окончание аукциона",""),IF(AND(W46&lt;&gt;"",X46&lt;&gt;"",X46&gt;W46),"Минимальная цена выше «Продать сейчас»",""),IF(AND(W46&lt;&gt;"",X46&lt;&gt;"",X46&lt;=W46,X46&gt;W46*0.9),"Минимальная цена выше 90% от «Продать сейчас»",""),IF(AND(W46&lt;&gt;"",Y46&lt;&gt;"",Y46&gt;W46*0.3),"Стартовая ставка выше 30% от «Продать сейчас»",""),IF(AND(Z46&lt;&gt;"",AA46&lt;&gt;"",AA46&lt;EDATE(Z46,3)+15),"Аукцион короче 3 месяцев и 15 дней",""),IF(AND(AB46="Да",OR(AC46="",AC46&lt;=0)),"Цена тест-драйва за сутки",""),IF(OR(AJ46="",AJ46="Нет"),"Право собственности",""),IF(OR(AK46="",AK46="Нет"),"Справка об отсутствии обременений",""))="","",TEXTJOIN(", ",TRUE,IF(B46="","Название",""),IF(C46="","Тип недвижимости",""),IF(D46="","Страна",""),IF(E46="","Город",""),IF(F46="","Улица",""),IF(I46="","Валюта",""),IF(OR(AE46="",AE46&lt;1),"Хотя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земли",""),IF(OR(W46="",W46&lt;=0),"Продать сейчас",""),IF(OR(X46="",X46&lt;=0),"Минимальная цена продажи",""),IF(OR(Y46="",Y46&lt;=0),"Стартовая ставка",""),IF(Z46="","Начало аукциона",""),IF(AA46="","Окончание аукциона",""),IF(AND(W46&lt;&gt;"",X46&lt;&gt;"",X46&gt;W46),"Минимальная цена выше «Продать сейчас»",""),IF(AND(W46&lt;&gt;"",X46&lt;&gt;"",X46&lt;=W46,X46&gt;W46*0.9),"Минимальная цена выше 90% от «Продать сейчас»",""),IF(AND(W46&lt;&gt;"",Y46&lt;&gt;"",Y46&gt;W46*0.3),"Стартовая ставка выше 30% от «Продать сейчас»",""),IF(AND(Z46&lt;&gt;"",AA46&lt;&gt;"",AA46&lt;EDATE(Z46,3)+15),"Аукцион короче 3 месяцев и 15 дней",""),IF(AND(AB46="Да",OR(AC46="",AC46&lt;=0)),"Цена тест-драйва за сутки",""),IF(OR(AJ46="",AJ46="Нет"),"Право собственности",""),IF(OR(AK46="",AK46="Нет"),"Справка об отсутствии обременений",""))))</f>
        <v/>
      </c>
      <c r="AN46" s="35">
        <f>IF(NOT(COUNTA(A46:AL46)&gt;0),"",IF(TEXTJOIN(", ",TRUE,IF(AH46="","Описание",""),IF(AND(AE46&lt;&gt;"",AE46&gt;=1,AE46&lt;5),"Фото меньше 5",""),IF(AG46="","Видео",""),IF(H46="","Кадастровый номер",""),IF(AF46="","Ссылка на фото",""))="","",TEXTJOIN(", ",TRUE,IF(AH46="","Описание",""),IF(AND(AE46&lt;&gt;"",AE46&gt;=1,AE46&lt;5),"Фото меньше 5",""),IF(AG46="","Видео",""),IF(H46="","Кадастровый номер",""),IF(AF46="","Ссылка на фото",""))))</f>
        <v/>
      </c>
      <c r="AO46" s="35">
        <f>IF(NOT(COUNTA(A46:AL46)&gt;0),"",IF(AM46="","Можно публиковать","Не хватает"))</f>
        <v/>
      </c>
    </row>
    <row r="47" ht="22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 t="n"/>
      <c r="K47" s="31" t="n"/>
      <c r="L47" s="31" t="n"/>
      <c r="M47" s="32" t="n"/>
      <c r="N47" s="32" t="n"/>
      <c r="O47" s="32" t="n"/>
      <c r="P47" s="32" t="n"/>
      <c r="Q47" s="32" t="n"/>
      <c r="R47" s="32" t="n"/>
      <c r="S47" s="30" t="n"/>
      <c r="T47" s="30" t="n"/>
      <c r="U47" s="30" t="n"/>
      <c r="V47" s="30" t="n"/>
      <c r="W47" s="33" t="n"/>
      <c r="X47" s="33" t="n"/>
      <c r="Y47" s="33" t="n"/>
      <c r="Z47" s="34" t="n"/>
      <c r="AA47" s="34" t="n"/>
      <c r="AB47" s="30" t="n"/>
      <c r="AC47" s="33" t="n"/>
      <c r="AD47" s="33" t="n"/>
      <c r="AE47" s="32" t="n"/>
      <c r="AF47" s="30" t="n"/>
      <c r="AG47" s="30" t="n"/>
      <c r="AH47" s="30" t="n"/>
      <c r="AI47" s="30" t="n"/>
      <c r="AJ47" s="30" t="n"/>
      <c r="AK47" s="30" t="n"/>
      <c r="AL47" s="30" t="n"/>
      <c r="AM47" s="35">
        <f>IF(NOT(COUNTA(A47:AL47)&gt;0),"",IF(TEXTJOIN(", ",TRUE,IF(B47="","Название",""),IF(C47="","Тип недвижимости",""),IF(D47="","Страна",""),IF(E47="","Город",""),IF(F47="","Улица",""),IF(I47="","Валюта",""),IF(OR(AE47="",AE47&lt;1),"Хотя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земли",""),IF(OR(W47="",W47&lt;=0),"Продать сейчас",""),IF(OR(X47="",X47&lt;=0),"Минимальная цена продажи",""),IF(OR(Y47="",Y47&lt;=0),"Стартовая ставка",""),IF(Z47="","Начало аукциона",""),IF(AA47="","Окончание аукциона",""),IF(AND(W47&lt;&gt;"",X47&lt;&gt;"",X47&gt;W47),"Минимальная цена выше «Продать сейчас»",""),IF(AND(W47&lt;&gt;"",X47&lt;&gt;"",X47&lt;=W47,X47&gt;W47*0.9),"Минимальная цена выше 90% от «Продать сейчас»",""),IF(AND(W47&lt;&gt;"",Y47&lt;&gt;"",Y47&gt;W47*0.3),"Стартовая ставка выше 30% от «Продать сейчас»",""),IF(AND(Z47&lt;&gt;"",AA47&lt;&gt;"",AA47&lt;EDATE(Z47,3)+15),"Аукцион короче 3 месяцев и 15 дней",""),IF(AND(AB47="Да",OR(AC47="",AC47&lt;=0)),"Цена тест-драйва за сутки",""),IF(OR(AJ47="",AJ47="Нет"),"Право собственности",""),IF(OR(AK47="",AK47="Нет"),"Справка об отсутствии обременений",""))="","",TEXTJOIN(", ",TRUE,IF(B47="","Название",""),IF(C47="","Тип недвижимости",""),IF(D47="","Страна",""),IF(E47="","Город",""),IF(F47="","Улица",""),IF(I47="","Валюта",""),IF(OR(AE47="",AE47&lt;1),"Хотя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земли",""),IF(OR(W47="",W47&lt;=0),"Продать сейчас",""),IF(OR(X47="",X47&lt;=0),"Минимальная цена продажи",""),IF(OR(Y47="",Y47&lt;=0),"Стартовая ставка",""),IF(Z47="","Начало аукциона",""),IF(AA47="","Окончание аукциона",""),IF(AND(W47&lt;&gt;"",X47&lt;&gt;"",X47&gt;W47),"Минимальная цена выше «Продать сейчас»",""),IF(AND(W47&lt;&gt;"",X47&lt;&gt;"",X47&lt;=W47,X47&gt;W47*0.9),"Минимальная цена выше 90% от «Продать сейчас»",""),IF(AND(W47&lt;&gt;"",Y47&lt;&gt;"",Y47&gt;W47*0.3),"Стартовая ставка выше 30% от «Продать сейчас»",""),IF(AND(Z47&lt;&gt;"",AA47&lt;&gt;"",AA47&lt;EDATE(Z47,3)+15),"Аукцион короче 3 месяцев и 15 дней",""),IF(AND(AB47="Да",OR(AC47="",AC47&lt;=0)),"Цена тест-драйва за сутки",""),IF(OR(AJ47="",AJ47="Нет"),"Право собственности",""),IF(OR(AK47="",AK47="Нет"),"Справка об отсутствии обременений",""))))</f>
        <v/>
      </c>
      <c r="AN47" s="35">
        <f>IF(NOT(COUNTA(A47:AL47)&gt;0),"",IF(TEXTJOIN(", ",TRUE,IF(AH47="","Описание",""),IF(AND(AE47&lt;&gt;"",AE47&gt;=1,AE47&lt;5),"Фото меньше 5",""),IF(AG47="","Видео",""),IF(H47="","Кадастровый номер",""),IF(AF47="","Ссылка на фото",""))="","",TEXTJOIN(", ",TRUE,IF(AH47="","Описание",""),IF(AND(AE47&lt;&gt;"",AE47&gt;=1,AE47&lt;5),"Фото меньше 5",""),IF(AG47="","Видео",""),IF(H47="","Кадастровый номер",""),IF(AF47="","Ссылка на фото",""))))</f>
        <v/>
      </c>
      <c r="AO47" s="35">
        <f>IF(NOT(COUNTA(A47:AL47)&gt;0),"",IF(AM47="","Можно публиковать","Не хватает"))</f>
        <v/>
      </c>
    </row>
    <row r="48" ht="22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7" t="n"/>
      <c r="K48" s="37" t="n"/>
      <c r="L48" s="37" t="n"/>
      <c r="M48" s="38" t="n"/>
      <c r="N48" s="38" t="n"/>
      <c r="O48" s="38" t="n"/>
      <c r="P48" s="38" t="n"/>
      <c r="Q48" s="38" t="n"/>
      <c r="R48" s="38" t="n"/>
      <c r="S48" s="36" t="n"/>
      <c r="T48" s="36" t="n"/>
      <c r="U48" s="36" t="n"/>
      <c r="V48" s="36" t="n"/>
      <c r="W48" s="39" t="n"/>
      <c r="X48" s="39" t="n"/>
      <c r="Y48" s="39" t="n"/>
      <c r="Z48" s="40" t="n"/>
      <c r="AA48" s="40" t="n"/>
      <c r="AB48" s="36" t="n"/>
      <c r="AC48" s="39" t="n"/>
      <c r="AD48" s="39" t="n"/>
      <c r="AE48" s="38" t="n"/>
      <c r="AF48" s="36" t="n"/>
      <c r="AG48" s="36" t="n"/>
      <c r="AH48" s="36" t="n"/>
      <c r="AI48" s="36" t="n"/>
      <c r="AJ48" s="36" t="n"/>
      <c r="AK48" s="36" t="n"/>
      <c r="AL48" s="36" t="n"/>
      <c r="AM48" s="35">
        <f>IF(NOT(COUNTA(A48:AL48)&gt;0),"",IF(TEXTJOIN(", ",TRUE,IF(B48="","Название",""),IF(C48="","Тип недвижимости",""),IF(D48="","Страна",""),IF(E48="","Город",""),IF(F48="","Улица",""),IF(I48="","Валюта",""),IF(OR(AE48="",AE48&lt;1),"Хотя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земли",""),IF(OR(W48="",W48&lt;=0),"Продать сейчас",""),IF(OR(X48="",X48&lt;=0),"Минимальная цена продажи",""),IF(OR(Y48="",Y48&lt;=0),"Стартовая ставка",""),IF(Z48="","Начало аукциона",""),IF(AA48="","Окончание аукциона",""),IF(AND(W48&lt;&gt;"",X48&lt;&gt;"",X48&gt;W48),"Минимальная цена выше «Продать сейчас»",""),IF(AND(W48&lt;&gt;"",X48&lt;&gt;"",X48&lt;=W48,X48&gt;W48*0.9),"Минимальная цена выше 90% от «Продать сейчас»",""),IF(AND(W48&lt;&gt;"",Y48&lt;&gt;"",Y48&gt;W48*0.3),"Стартовая ставка выше 30% от «Продать сейчас»",""),IF(AND(Z48&lt;&gt;"",AA48&lt;&gt;"",AA48&lt;EDATE(Z48,3)+15),"Аукцион короче 3 месяцев и 15 дней",""),IF(AND(AB48="Да",OR(AC48="",AC48&lt;=0)),"Цена тест-драйва за сутки",""),IF(OR(AJ48="",AJ48="Нет"),"Право собственности",""),IF(OR(AK48="",AK48="Нет"),"Справка об отсутствии обременений",""))="","",TEXTJOIN(", ",TRUE,IF(B48="","Название",""),IF(C48="","Тип недвижимости",""),IF(D48="","Страна",""),IF(E48="","Город",""),IF(F48="","Улица",""),IF(I48="","Валюта",""),IF(OR(AE48="",AE48&lt;1),"Хотя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земли",""),IF(OR(W48="",W48&lt;=0),"Продать сейчас",""),IF(OR(X48="",X48&lt;=0),"Минимальная цена продажи",""),IF(OR(Y48="",Y48&lt;=0),"Стартовая ставка",""),IF(Z48="","Начало аукциона",""),IF(AA48="","Окончание аукциона",""),IF(AND(W48&lt;&gt;"",X48&lt;&gt;"",X48&gt;W48),"Минимальная цена выше «Продать сейчас»",""),IF(AND(W48&lt;&gt;"",X48&lt;&gt;"",X48&lt;=W48,X48&gt;W48*0.9),"Минимальная цена выше 90% от «Продать сейчас»",""),IF(AND(W48&lt;&gt;"",Y48&lt;&gt;"",Y48&gt;W48*0.3),"Стартовая ставка выше 30% от «Продать сейчас»",""),IF(AND(Z48&lt;&gt;"",AA48&lt;&gt;"",AA48&lt;EDATE(Z48,3)+15),"Аукцион короче 3 месяцев и 15 дней",""),IF(AND(AB48="Да",OR(AC48="",AC48&lt;=0)),"Цена тест-драйва за сутки",""),IF(OR(AJ48="",AJ48="Нет"),"Право собственности",""),IF(OR(AK48="",AK48="Нет"),"Справка об отсутствии обременений",""))))</f>
        <v/>
      </c>
      <c r="AN48" s="35">
        <f>IF(NOT(COUNTA(A48:AL48)&gt;0),"",IF(TEXTJOIN(", ",TRUE,IF(AH48="","Описание",""),IF(AND(AE48&lt;&gt;"",AE48&gt;=1,AE48&lt;5),"Фото меньше 5",""),IF(AG48="","Видео",""),IF(H48="","Кадастровый номер",""),IF(AF48="","Ссылка на фото",""))="","",TEXTJOIN(", ",TRUE,IF(AH48="","Описание",""),IF(AND(AE48&lt;&gt;"",AE48&gt;=1,AE48&lt;5),"Фото меньше 5",""),IF(AG48="","Видео",""),IF(H48="","Кадастровый номер",""),IF(AF48="","Ссылка на фото",""))))</f>
        <v/>
      </c>
      <c r="AO48" s="35">
        <f>IF(NOT(COUNTA(A48:AL48)&gt;0),"",IF(AM48="","Можно публиковать","Не хватает"))</f>
        <v/>
      </c>
    </row>
    <row r="49" ht="22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  <c r="K49" s="31" t="n"/>
      <c r="L49" s="31" t="n"/>
      <c r="M49" s="32" t="n"/>
      <c r="N49" s="32" t="n"/>
      <c r="O49" s="32" t="n"/>
      <c r="P49" s="32" t="n"/>
      <c r="Q49" s="32" t="n"/>
      <c r="R49" s="32" t="n"/>
      <c r="S49" s="30" t="n"/>
      <c r="T49" s="30" t="n"/>
      <c r="U49" s="30" t="n"/>
      <c r="V49" s="30" t="n"/>
      <c r="W49" s="33" t="n"/>
      <c r="X49" s="33" t="n"/>
      <c r="Y49" s="33" t="n"/>
      <c r="Z49" s="34" t="n"/>
      <c r="AA49" s="34" t="n"/>
      <c r="AB49" s="30" t="n"/>
      <c r="AC49" s="33" t="n"/>
      <c r="AD49" s="33" t="n"/>
      <c r="AE49" s="32" t="n"/>
      <c r="AF49" s="30" t="n"/>
      <c r="AG49" s="30" t="n"/>
      <c r="AH49" s="30" t="n"/>
      <c r="AI49" s="30" t="n"/>
      <c r="AJ49" s="30" t="n"/>
      <c r="AK49" s="30" t="n"/>
      <c r="AL49" s="30" t="n"/>
      <c r="AM49" s="35">
        <f>IF(NOT(COUNTA(A49:AL49)&gt;0),"",IF(TEXTJOIN(", ",TRUE,IF(B49="","Название",""),IF(C49="","Тип недвижимости",""),IF(D49="","Страна",""),IF(E49="","Город",""),IF(F49="","Улица",""),IF(I49="","Валюта",""),IF(OR(AE49="",AE49&lt;1),"Хотя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земли",""),IF(OR(W49="",W49&lt;=0),"Продать сейчас",""),IF(OR(X49="",X49&lt;=0),"Минимальная цена продажи",""),IF(OR(Y49="",Y49&lt;=0),"Стартовая ставка",""),IF(Z49="","Начало аукциона",""),IF(AA49="","Окончание аукциона",""),IF(AND(W49&lt;&gt;"",X49&lt;&gt;"",X49&gt;W49),"Минимальная цена выше «Продать сейчас»",""),IF(AND(W49&lt;&gt;"",X49&lt;&gt;"",X49&lt;=W49,X49&gt;W49*0.9),"Минимальная цена выше 90% от «Продать сейчас»",""),IF(AND(W49&lt;&gt;"",Y49&lt;&gt;"",Y49&gt;W49*0.3),"Стартовая ставка выше 30% от «Продать сейчас»",""),IF(AND(Z49&lt;&gt;"",AA49&lt;&gt;"",AA49&lt;EDATE(Z49,3)+15),"Аукцион короче 3 месяцев и 15 дней",""),IF(AND(AB49="Да",OR(AC49="",AC49&lt;=0)),"Цена тест-драйва за сутки",""),IF(OR(AJ49="",AJ49="Нет"),"Право собственности",""),IF(OR(AK49="",AK49="Нет"),"Справка об отсутствии обременений",""))="","",TEXTJOIN(", ",TRUE,IF(B49="","Название",""),IF(C49="","Тип недвижимости",""),IF(D49="","Страна",""),IF(E49="","Город",""),IF(F49="","Улица",""),IF(I49="","Валюта",""),IF(OR(AE49="",AE49&lt;1),"Хотя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земли",""),IF(OR(W49="",W49&lt;=0),"Продать сейчас",""),IF(OR(X49="",X49&lt;=0),"Минимальная цена продажи",""),IF(OR(Y49="",Y49&lt;=0),"Стартовая ставка",""),IF(Z49="","Начало аукциона",""),IF(AA49="","Окончание аукциона",""),IF(AND(W49&lt;&gt;"",X49&lt;&gt;"",X49&gt;W49),"Минимальная цена выше «Продать сейчас»",""),IF(AND(W49&lt;&gt;"",X49&lt;&gt;"",X49&lt;=W49,X49&gt;W49*0.9),"Минимальная цена выше 90% от «Продать сейчас»",""),IF(AND(W49&lt;&gt;"",Y49&lt;&gt;"",Y49&gt;W49*0.3),"Стартовая ставка выше 30% от «Продать сейчас»",""),IF(AND(Z49&lt;&gt;"",AA49&lt;&gt;"",AA49&lt;EDATE(Z49,3)+15),"Аукцион короче 3 месяцев и 15 дней",""),IF(AND(AB49="Да",OR(AC49="",AC49&lt;=0)),"Цена тест-драйва за сутки",""),IF(OR(AJ49="",AJ49="Нет"),"Право собственности",""),IF(OR(AK49="",AK49="Нет"),"Справка об отсутствии обременений",""))))</f>
        <v/>
      </c>
      <c r="AN49" s="35">
        <f>IF(NOT(COUNTA(A49:AL49)&gt;0),"",IF(TEXTJOIN(", ",TRUE,IF(AH49="","Описание",""),IF(AND(AE49&lt;&gt;"",AE49&gt;=1,AE49&lt;5),"Фото меньше 5",""),IF(AG49="","Видео",""),IF(H49="","Кадастровый номер",""),IF(AF49="","Ссылка на фото",""))="","",TEXTJOIN(", ",TRUE,IF(AH49="","Описание",""),IF(AND(AE49&lt;&gt;"",AE49&gt;=1,AE49&lt;5),"Фото меньше 5",""),IF(AG49="","Видео",""),IF(H49="","Кадастровый номер",""),IF(AF49="","Ссылка на фото",""))))</f>
        <v/>
      </c>
      <c r="AO49" s="35">
        <f>IF(NOT(COUNTA(A49:AL49)&gt;0),"",IF(AM49="","Можно публиковать","Не хватает"))</f>
        <v/>
      </c>
    </row>
    <row r="50" ht="22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7" t="n"/>
      <c r="K50" s="37" t="n"/>
      <c r="L50" s="37" t="n"/>
      <c r="M50" s="38" t="n"/>
      <c r="N50" s="38" t="n"/>
      <c r="O50" s="38" t="n"/>
      <c r="P50" s="38" t="n"/>
      <c r="Q50" s="38" t="n"/>
      <c r="R50" s="38" t="n"/>
      <c r="S50" s="36" t="n"/>
      <c r="T50" s="36" t="n"/>
      <c r="U50" s="36" t="n"/>
      <c r="V50" s="36" t="n"/>
      <c r="W50" s="39" t="n"/>
      <c r="X50" s="39" t="n"/>
      <c r="Y50" s="39" t="n"/>
      <c r="Z50" s="40" t="n"/>
      <c r="AA50" s="40" t="n"/>
      <c r="AB50" s="36" t="n"/>
      <c r="AC50" s="39" t="n"/>
      <c r="AD50" s="39" t="n"/>
      <c r="AE50" s="38" t="n"/>
      <c r="AF50" s="36" t="n"/>
      <c r="AG50" s="36" t="n"/>
      <c r="AH50" s="36" t="n"/>
      <c r="AI50" s="36" t="n"/>
      <c r="AJ50" s="36" t="n"/>
      <c r="AK50" s="36" t="n"/>
      <c r="AL50" s="36" t="n"/>
      <c r="AM50" s="35">
        <f>IF(NOT(COUNTA(A50:AL50)&gt;0),"",IF(TEXTJOIN(", ",TRUE,IF(B50="","Название",""),IF(C50="","Тип недвижимости",""),IF(D50="","Страна",""),IF(E50="","Город",""),IF(F50="","Улица",""),IF(I50="","Валюта",""),IF(OR(AE50="",AE50&lt;1),"Хотя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земли",""),IF(OR(W50="",W50&lt;=0),"Продать сейчас",""),IF(OR(X50="",X50&lt;=0),"Минимальная цена продажи",""),IF(OR(Y50="",Y50&lt;=0),"Стартовая ставка",""),IF(Z50="","Начало аукциона",""),IF(AA50="","Окончание аукциона",""),IF(AND(W50&lt;&gt;"",X50&lt;&gt;"",X50&gt;W50),"Минимальная цена выше «Продать сейчас»",""),IF(AND(W50&lt;&gt;"",X50&lt;&gt;"",X50&lt;=W50,X50&gt;W50*0.9),"Минимальная цена выше 90% от «Продать сейчас»",""),IF(AND(W50&lt;&gt;"",Y50&lt;&gt;"",Y50&gt;W50*0.3),"Стартовая ставка выше 30% от «Продать сейчас»",""),IF(AND(Z50&lt;&gt;"",AA50&lt;&gt;"",AA50&lt;EDATE(Z50,3)+15),"Аукцион короче 3 месяцев и 15 дней",""),IF(AND(AB50="Да",OR(AC50="",AC50&lt;=0)),"Цена тест-драйва за сутки",""),IF(OR(AJ50="",AJ50="Нет"),"Право собственности",""),IF(OR(AK50="",AK50="Нет"),"Справка об отсутствии обременений",""))="","",TEXTJOIN(", ",TRUE,IF(B50="","Название",""),IF(C50="","Тип недвижимости",""),IF(D50="","Страна",""),IF(E50="","Город",""),IF(F50="","Улица",""),IF(I50="","Валюта",""),IF(OR(AE50="",AE50&lt;1),"Хотя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земли",""),IF(OR(W50="",W50&lt;=0),"Продать сейчас",""),IF(OR(X50="",X50&lt;=0),"Минимальная цена продажи",""),IF(OR(Y50="",Y50&lt;=0),"Стартовая ставка",""),IF(Z50="","Начало аукциона",""),IF(AA50="","Окончание аукциона",""),IF(AND(W50&lt;&gt;"",X50&lt;&gt;"",X50&gt;W50),"Минимальная цена выше «Продать сейчас»",""),IF(AND(W50&lt;&gt;"",X50&lt;&gt;"",X50&lt;=W50,X50&gt;W50*0.9),"Минимальная цена выше 90% от «Продать сейчас»",""),IF(AND(W50&lt;&gt;"",Y50&lt;&gt;"",Y50&gt;W50*0.3),"Стартовая ставка выше 30% от «Продать сейчас»",""),IF(AND(Z50&lt;&gt;"",AA50&lt;&gt;"",AA50&lt;EDATE(Z50,3)+15),"Аукцион короче 3 месяцев и 15 дней",""),IF(AND(AB50="Да",OR(AC50="",AC50&lt;=0)),"Цена тест-драйва за сутки",""),IF(OR(AJ50="",AJ50="Нет"),"Право собственности",""),IF(OR(AK50="",AK50="Нет"),"Справка об отсутствии обременений",""))))</f>
        <v/>
      </c>
      <c r="AN50" s="35">
        <f>IF(NOT(COUNTA(A50:AL50)&gt;0),"",IF(TEXTJOIN(", ",TRUE,IF(AH50="","Описание",""),IF(AND(AE50&lt;&gt;"",AE50&gt;=1,AE50&lt;5),"Фото меньше 5",""),IF(AG50="","Видео",""),IF(H50="","Кадастровый номер",""),IF(AF50="","Ссылка на фото",""))="","",TEXTJOIN(", ",TRUE,IF(AH50="","Описание",""),IF(AND(AE50&lt;&gt;"",AE50&gt;=1,AE50&lt;5),"Фото меньше 5",""),IF(AG50="","Видео",""),IF(H50="","Кадастровый номер",""),IF(AF50="","Ссылка на фото",""))))</f>
        <v/>
      </c>
      <c r="AO50" s="35">
        <f>IF(NOT(COUNTA(A50:AL50)&gt;0),"",IF(AM50="","Можно публиковать","Не хватает"))</f>
        <v/>
      </c>
    </row>
    <row r="51" ht="22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 t="n"/>
      <c r="K51" s="31" t="n"/>
      <c r="L51" s="31" t="n"/>
      <c r="M51" s="32" t="n"/>
      <c r="N51" s="32" t="n"/>
      <c r="O51" s="32" t="n"/>
      <c r="P51" s="32" t="n"/>
      <c r="Q51" s="32" t="n"/>
      <c r="R51" s="32" t="n"/>
      <c r="S51" s="30" t="n"/>
      <c r="T51" s="30" t="n"/>
      <c r="U51" s="30" t="n"/>
      <c r="V51" s="30" t="n"/>
      <c r="W51" s="33" t="n"/>
      <c r="X51" s="33" t="n"/>
      <c r="Y51" s="33" t="n"/>
      <c r="Z51" s="34" t="n"/>
      <c r="AA51" s="34" t="n"/>
      <c r="AB51" s="30" t="n"/>
      <c r="AC51" s="33" t="n"/>
      <c r="AD51" s="33" t="n"/>
      <c r="AE51" s="32" t="n"/>
      <c r="AF51" s="30" t="n"/>
      <c r="AG51" s="30" t="n"/>
      <c r="AH51" s="30" t="n"/>
      <c r="AI51" s="30" t="n"/>
      <c r="AJ51" s="30" t="n"/>
      <c r="AK51" s="30" t="n"/>
      <c r="AL51" s="30" t="n"/>
      <c r="AM51" s="35">
        <f>IF(NOT(COUNTA(A51:AL51)&gt;0),"",IF(TEXTJOIN(", ",TRUE,IF(B51="","Название",""),IF(C51="","Тип недвижимости",""),IF(D51="","Страна",""),IF(E51="","Город",""),IF(F51="","Улица",""),IF(I51="","Валюта",""),IF(OR(AE51="",AE51&lt;1),"Хотя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земли",""),IF(OR(W51="",W51&lt;=0),"Продать сейчас",""),IF(OR(X51="",X51&lt;=0),"Минимальная цена продажи",""),IF(OR(Y51="",Y51&lt;=0),"Стартовая ставка",""),IF(Z51="","Начало аукциона",""),IF(AA51="","Окончание аукциона",""),IF(AND(W51&lt;&gt;"",X51&lt;&gt;"",X51&gt;W51),"Минимальная цена выше «Продать сейчас»",""),IF(AND(W51&lt;&gt;"",X51&lt;&gt;"",X51&lt;=W51,X51&gt;W51*0.9),"Минимальная цена выше 90% от «Продать сейчас»",""),IF(AND(W51&lt;&gt;"",Y51&lt;&gt;"",Y51&gt;W51*0.3),"Стартовая ставка выше 30% от «Продать сейчас»",""),IF(AND(Z51&lt;&gt;"",AA51&lt;&gt;"",AA51&lt;EDATE(Z51,3)+15),"Аукцион короче 3 месяцев и 15 дней",""),IF(AND(AB51="Да",OR(AC51="",AC51&lt;=0)),"Цена тест-драйва за сутки",""),IF(OR(AJ51="",AJ51="Нет"),"Право собственности",""),IF(OR(AK51="",AK51="Нет"),"Справка об отсутствии обременений",""))="","",TEXTJOIN(", ",TRUE,IF(B51="","Название",""),IF(C51="","Тип недвижимости",""),IF(D51="","Страна",""),IF(E51="","Город",""),IF(F51="","Улица",""),IF(I51="","Валюта",""),IF(OR(AE51="",AE51&lt;1),"Хотя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земли",""),IF(OR(W51="",W51&lt;=0),"Продать сейчас",""),IF(OR(X51="",X51&lt;=0),"Минимальная цена продажи",""),IF(OR(Y51="",Y51&lt;=0),"Стартовая ставка",""),IF(Z51="","Начало аукциона",""),IF(AA51="","Окончание аукциона",""),IF(AND(W51&lt;&gt;"",X51&lt;&gt;"",X51&gt;W51),"Минимальная цена выше «Продать сейчас»",""),IF(AND(W51&lt;&gt;"",X51&lt;&gt;"",X51&lt;=W51,X51&gt;W51*0.9),"Минимальная цена выше 90% от «Продать сейчас»",""),IF(AND(W51&lt;&gt;"",Y51&lt;&gt;"",Y51&gt;W51*0.3),"Стартовая ставка выше 30% от «Продать сейчас»",""),IF(AND(Z51&lt;&gt;"",AA51&lt;&gt;"",AA51&lt;EDATE(Z51,3)+15),"Аукцион короче 3 месяцев и 15 дней",""),IF(AND(AB51="Да",OR(AC51="",AC51&lt;=0)),"Цена тест-драйва за сутки",""),IF(OR(AJ51="",AJ51="Нет"),"Право собственности",""),IF(OR(AK51="",AK51="Нет"),"Справка об отсутствии обременений",""))))</f>
        <v/>
      </c>
      <c r="AN51" s="35">
        <f>IF(NOT(COUNTA(A51:AL51)&gt;0),"",IF(TEXTJOIN(", ",TRUE,IF(AH51="","Описание",""),IF(AND(AE51&lt;&gt;"",AE51&gt;=1,AE51&lt;5),"Фото меньше 5",""),IF(AG51="","Видео",""),IF(H51="","Кадастровый номер",""),IF(AF51="","Ссылка на фото",""))="","",TEXTJOIN(", ",TRUE,IF(AH51="","Описание",""),IF(AND(AE51&lt;&gt;"",AE51&gt;=1,AE51&lt;5),"Фото меньше 5",""),IF(AG51="","Видео",""),IF(H51="","Кадастровый номер",""),IF(AF51="","Ссылка на фото",""))))</f>
        <v/>
      </c>
      <c r="AO51" s="35">
        <f>IF(NOT(COUNTA(A51:AL51)&gt;0),"",IF(AM51="","Можно публиковать","Не хватает"))</f>
        <v/>
      </c>
    </row>
    <row r="52" ht="22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7" t="n"/>
      <c r="K52" s="37" t="n"/>
      <c r="L52" s="37" t="n"/>
      <c r="M52" s="38" t="n"/>
      <c r="N52" s="38" t="n"/>
      <c r="O52" s="38" t="n"/>
      <c r="P52" s="38" t="n"/>
      <c r="Q52" s="38" t="n"/>
      <c r="R52" s="38" t="n"/>
      <c r="S52" s="36" t="n"/>
      <c r="T52" s="36" t="n"/>
      <c r="U52" s="36" t="n"/>
      <c r="V52" s="36" t="n"/>
      <c r="W52" s="39" t="n"/>
      <c r="X52" s="39" t="n"/>
      <c r="Y52" s="39" t="n"/>
      <c r="Z52" s="40" t="n"/>
      <c r="AA52" s="40" t="n"/>
      <c r="AB52" s="36" t="n"/>
      <c r="AC52" s="39" t="n"/>
      <c r="AD52" s="39" t="n"/>
      <c r="AE52" s="38" t="n"/>
      <c r="AF52" s="36" t="n"/>
      <c r="AG52" s="36" t="n"/>
      <c r="AH52" s="36" t="n"/>
      <c r="AI52" s="36" t="n"/>
      <c r="AJ52" s="36" t="n"/>
      <c r="AK52" s="36" t="n"/>
      <c r="AL52" s="36" t="n"/>
      <c r="AM52" s="35">
        <f>IF(NOT(COUNTA(A52:AL52)&gt;0),"",IF(TEXTJOIN(", ",TRUE,IF(B52="","Название",""),IF(C52="","Тип недвижимости",""),IF(D52="","Страна",""),IF(E52="","Город",""),IF(F52="","Улица",""),IF(I52="","Валюта",""),IF(OR(AE52="",AE52&lt;1),"Хотя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земли",""),IF(OR(W52="",W52&lt;=0),"Продать сейчас",""),IF(OR(X52="",X52&lt;=0),"Минимальная цена продажи",""),IF(OR(Y52="",Y52&lt;=0),"Стартовая ставка",""),IF(Z52="","Начало аукциона",""),IF(AA52="","Окончание аукциона",""),IF(AND(W52&lt;&gt;"",X52&lt;&gt;"",X52&gt;W52),"Минимальная цена выше «Продать сейчас»",""),IF(AND(W52&lt;&gt;"",X52&lt;&gt;"",X52&lt;=W52,X52&gt;W52*0.9),"Минимальная цена выше 90% от «Продать сейчас»",""),IF(AND(W52&lt;&gt;"",Y52&lt;&gt;"",Y52&gt;W52*0.3),"Стартовая ставка выше 30% от «Продать сейчас»",""),IF(AND(Z52&lt;&gt;"",AA52&lt;&gt;"",AA52&lt;EDATE(Z52,3)+15),"Аукцион короче 3 месяцев и 15 дней",""),IF(AND(AB52="Да",OR(AC52="",AC52&lt;=0)),"Цена тест-драйва за сутки",""),IF(OR(AJ52="",AJ52="Нет"),"Право собственности",""),IF(OR(AK52="",AK52="Нет"),"Справка об отсутствии обременений",""))="","",TEXTJOIN(", ",TRUE,IF(B52="","Название",""),IF(C52="","Тип недвижимости",""),IF(D52="","Страна",""),IF(E52="","Город",""),IF(F52="","Улица",""),IF(I52="","Валюта",""),IF(OR(AE52="",AE52&lt;1),"Хотя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земли",""),IF(OR(W52="",W52&lt;=0),"Продать сейчас",""),IF(OR(X52="",X52&lt;=0),"Минимальная цена продажи",""),IF(OR(Y52="",Y52&lt;=0),"Стартовая ставка",""),IF(Z52="","Начало аукциона",""),IF(AA52="","Окончание аукциона",""),IF(AND(W52&lt;&gt;"",X52&lt;&gt;"",X52&gt;W52),"Минимальная цена выше «Продать сейчас»",""),IF(AND(W52&lt;&gt;"",X52&lt;&gt;"",X52&lt;=W52,X52&gt;W52*0.9),"Минимальная цена выше 90% от «Продать сейчас»",""),IF(AND(W52&lt;&gt;"",Y52&lt;&gt;"",Y52&gt;W52*0.3),"Стартовая ставка выше 30% от «Продать сейчас»",""),IF(AND(Z52&lt;&gt;"",AA52&lt;&gt;"",AA52&lt;EDATE(Z52,3)+15),"Аукцион короче 3 месяцев и 15 дней",""),IF(AND(AB52="Да",OR(AC52="",AC52&lt;=0)),"Цена тест-драйва за сутки",""),IF(OR(AJ52="",AJ52="Нет"),"Право собственности",""),IF(OR(AK52="",AK52="Нет"),"Справка об отсутствии обременений",""))))</f>
        <v/>
      </c>
      <c r="AN52" s="35">
        <f>IF(NOT(COUNTA(A52:AL52)&gt;0),"",IF(TEXTJOIN(", ",TRUE,IF(AH52="","Описание",""),IF(AND(AE52&lt;&gt;"",AE52&gt;=1,AE52&lt;5),"Фото меньше 5",""),IF(AG52="","Видео",""),IF(H52="","Кадастровый номер",""),IF(AF52="","Ссылка на фото",""))="","",TEXTJOIN(", ",TRUE,IF(AH52="","Описание",""),IF(AND(AE52&lt;&gt;"",AE52&gt;=1,AE52&lt;5),"Фото меньше 5",""),IF(AG52="","Видео",""),IF(H52="","Кадастровый номер",""),IF(AF52="","Ссылка на фото",""))))</f>
        <v/>
      </c>
      <c r="AO52" s="35">
        <f>IF(NOT(COUNTA(A52:AL52)&gt;0),"",IF(AM52="","Можно публиковать","Не хватает"))</f>
        <v/>
      </c>
    </row>
    <row r="53" ht="22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  <c r="K53" s="31" t="n"/>
      <c r="L53" s="31" t="n"/>
      <c r="M53" s="32" t="n"/>
      <c r="N53" s="32" t="n"/>
      <c r="O53" s="32" t="n"/>
      <c r="P53" s="32" t="n"/>
      <c r="Q53" s="32" t="n"/>
      <c r="R53" s="32" t="n"/>
      <c r="S53" s="30" t="n"/>
      <c r="T53" s="30" t="n"/>
      <c r="U53" s="30" t="n"/>
      <c r="V53" s="30" t="n"/>
      <c r="W53" s="33" t="n"/>
      <c r="X53" s="33" t="n"/>
      <c r="Y53" s="33" t="n"/>
      <c r="Z53" s="34" t="n"/>
      <c r="AA53" s="34" t="n"/>
      <c r="AB53" s="30" t="n"/>
      <c r="AC53" s="33" t="n"/>
      <c r="AD53" s="33" t="n"/>
      <c r="AE53" s="32" t="n"/>
      <c r="AF53" s="30" t="n"/>
      <c r="AG53" s="30" t="n"/>
      <c r="AH53" s="30" t="n"/>
      <c r="AI53" s="30" t="n"/>
      <c r="AJ53" s="30" t="n"/>
      <c r="AK53" s="30" t="n"/>
      <c r="AL53" s="30" t="n"/>
      <c r="AM53" s="35">
        <f>IF(NOT(COUNTA(A53:AL53)&gt;0),"",IF(TEXTJOIN(", ",TRUE,IF(B53="","Название",""),IF(C53="","Тип недвижимости",""),IF(D53="","Страна",""),IF(E53="","Город",""),IF(F53="","Улица",""),IF(I53="","Валюта",""),IF(OR(AE53="",AE53&lt;1),"Хотя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земли",""),IF(OR(W53="",W53&lt;=0),"Продать сейчас",""),IF(OR(X53="",X53&lt;=0),"Минимальная цена продажи",""),IF(OR(Y53="",Y53&lt;=0),"Стартовая ставка",""),IF(Z53="","Начало аукциона",""),IF(AA53="","Окончание аукциона",""),IF(AND(W53&lt;&gt;"",X53&lt;&gt;"",X53&gt;W53),"Минимальная цена выше «Продать сейчас»",""),IF(AND(W53&lt;&gt;"",X53&lt;&gt;"",X53&lt;=W53,X53&gt;W53*0.9),"Минимальная цена выше 90% от «Продать сейчас»",""),IF(AND(W53&lt;&gt;"",Y53&lt;&gt;"",Y53&gt;W53*0.3),"Стартовая ставка выше 30% от «Продать сейчас»",""),IF(AND(Z53&lt;&gt;"",AA53&lt;&gt;"",AA53&lt;EDATE(Z53,3)+15),"Аукцион короче 3 месяцев и 15 дней",""),IF(AND(AB53="Да",OR(AC53="",AC53&lt;=0)),"Цена тест-драйва за сутки",""),IF(OR(AJ53="",AJ53="Нет"),"Право собственности",""),IF(OR(AK53="",AK53="Нет"),"Справка об отсутствии обременений",""))="","",TEXTJOIN(", ",TRUE,IF(B53="","Название",""),IF(C53="","Тип недвижимости",""),IF(D53="","Страна",""),IF(E53="","Город",""),IF(F53="","Улица",""),IF(I53="","Валюта",""),IF(OR(AE53="",AE53&lt;1),"Хотя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земли",""),IF(OR(W53="",W53&lt;=0),"Продать сейчас",""),IF(OR(X53="",X53&lt;=0),"Минимальная цена продажи",""),IF(OR(Y53="",Y53&lt;=0),"Стартовая ставка",""),IF(Z53="","Начало аукциона",""),IF(AA53="","Окончание аукциона",""),IF(AND(W53&lt;&gt;"",X53&lt;&gt;"",X53&gt;W53),"Минимальная цена выше «Продать сейчас»",""),IF(AND(W53&lt;&gt;"",X53&lt;&gt;"",X53&lt;=W53,X53&gt;W53*0.9),"Минимальная цена выше 90% от «Продать сейчас»",""),IF(AND(W53&lt;&gt;"",Y53&lt;&gt;"",Y53&gt;W53*0.3),"Стартовая ставка выше 30% от «Продать сейчас»",""),IF(AND(Z53&lt;&gt;"",AA53&lt;&gt;"",AA53&lt;EDATE(Z53,3)+15),"Аукцион короче 3 месяцев и 15 дней",""),IF(AND(AB53="Да",OR(AC53="",AC53&lt;=0)),"Цена тест-драйва за сутки",""),IF(OR(AJ53="",AJ53="Нет"),"Право собственности",""),IF(OR(AK53="",AK53="Нет"),"Справка об отсутствии обременений",""))))</f>
        <v/>
      </c>
      <c r="AN53" s="35">
        <f>IF(NOT(COUNTA(A53:AL53)&gt;0),"",IF(TEXTJOIN(", ",TRUE,IF(AH53="","Описание",""),IF(AND(AE53&lt;&gt;"",AE53&gt;=1,AE53&lt;5),"Фото меньше 5",""),IF(AG53="","Видео",""),IF(H53="","Кадастровый номер",""),IF(AF53="","Ссылка на фото",""))="","",TEXTJOIN(", ",TRUE,IF(AH53="","Описание",""),IF(AND(AE53&lt;&gt;"",AE53&gt;=1,AE53&lt;5),"Фото меньше 5",""),IF(AG53="","Видео",""),IF(H53="","Кадастровый номер",""),IF(AF53="","Ссылка на фото",""))))</f>
        <v/>
      </c>
      <c r="AO53" s="35">
        <f>IF(NOT(COUNTA(A53:AL53)&gt;0),"",IF(AM53="","Можно публиковать","Не хватает"))</f>
        <v/>
      </c>
    </row>
    <row r="54" ht="22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7" t="n"/>
      <c r="K54" s="37" t="n"/>
      <c r="L54" s="37" t="n"/>
      <c r="M54" s="38" t="n"/>
      <c r="N54" s="38" t="n"/>
      <c r="O54" s="38" t="n"/>
      <c r="P54" s="38" t="n"/>
      <c r="Q54" s="38" t="n"/>
      <c r="R54" s="38" t="n"/>
      <c r="S54" s="36" t="n"/>
      <c r="T54" s="36" t="n"/>
      <c r="U54" s="36" t="n"/>
      <c r="V54" s="36" t="n"/>
      <c r="W54" s="39" t="n"/>
      <c r="X54" s="39" t="n"/>
      <c r="Y54" s="39" t="n"/>
      <c r="Z54" s="40" t="n"/>
      <c r="AA54" s="40" t="n"/>
      <c r="AB54" s="36" t="n"/>
      <c r="AC54" s="39" t="n"/>
      <c r="AD54" s="39" t="n"/>
      <c r="AE54" s="38" t="n"/>
      <c r="AF54" s="36" t="n"/>
      <c r="AG54" s="36" t="n"/>
      <c r="AH54" s="36" t="n"/>
      <c r="AI54" s="36" t="n"/>
      <c r="AJ54" s="36" t="n"/>
      <c r="AK54" s="36" t="n"/>
      <c r="AL54" s="36" t="n"/>
      <c r="AM54" s="35">
        <f>IF(NOT(COUNTA(A54:AL54)&gt;0),"",IF(TEXTJOIN(", ",TRUE,IF(B54="","Название",""),IF(C54="","Тип недвижимости",""),IF(D54="","Страна",""),IF(E54="","Город",""),IF(F54="","Улица",""),IF(I54="","Валюта",""),IF(OR(AE54="",AE54&lt;1),"Хотя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земли",""),IF(OR(W54="",W54&lt;=0),"Продать сейчас",""),IF(OR(X54="",X54&lt;=0),"Минимальная цена продажи",""),IF(OR(Y54="",Y54&lt;=0),"Стартовая ставка",""),IF(Z54="","Начало аукциона",""),IF(AA54="","Окончание аукциона",""),IF(AND(W54&lt;&gt;"",X54&lt;&gt;"",X54&gt;W54),"Минимальная цена выше «Продать сейчас»",""),IF(AND(W54&lt;&gt;"",X54&lt;&gt;"",X54&lt;=W54,X54&gt;W54*0.9),"Минимальная цена выше 90% от «Продать сейчас»",""),IF(AND(W54&lt;&gt;"",Y54&lt;&gt;"",Y54&gt;W54*0.3),"Стартовая ставка выше 30% от «Продать сейчас»",""),IF(AND(Z54&lt;&gt;"",AA54&lt;&gt;"",AA54&lt;EDATE(Z54,3)+15),"Аукцион короче 3 месяцев и 15 дней",""),IF(AND(AB54="Да",OR(AC54="",AC54&lt;=0)),"Цена тест-драйва за сутки",""),IF(OR(AJ54="",AJ54="Нет"),"Право собственности",""),IF(OR(AK54="",AK54="Нет"),"Справка об отсутствии обременений",""))="","",TEXTJOIN(", ",TRUE,IF(B54="","Название",""),IF(C54="","Тип недвижимости",""),IF(D54="","Страна",""),IF(E54="","Город",""),IF(F54="","Улица",""),IF(I54="","Валюта",""),IF(OR(AE54="",AE54&lt;1),"Хотя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земли",""),IF(OR(W54="",W54&lt;=0),"Продать сейчас",""),IF(OR(X54="",X54&lt;=0),"Минимальная цена продажи",""),IF(OR(Y54="",Y54&lt;=0),"Стартовая ставка",""),IF(Z54="","Начало аукциона",""),IF(AA54="","Окончание аукциона",""),IF(AND(W54&lt;&gt;"",X54&lt;&gt;"",X54&gt;W54),"Минимальная цена выше «Продать сейчас»",""),IF(AND(W54&lt;&gt;"",X54&lt;&gt;"",X54&lt;=W54,X54&gt;W54*0.9),"Минимальная цена выше 90% от «Продать сейчас»",""),IF(AND(W54&lt;&gt;"",Y54&lt;&gt;"",Y54&gt;W54*0.3),"Стартовая ставка выше 30% от «Продать сейчас»",""),IF(AND(Z54&lt;&gt;"",AA54&lt;&gt;"",AA54&lt;EDATE(Z54,3)+15),"Аукцион короче 3 месяцев и 15 дней",""),IF(AND(AB54="Да",OR(AC54="",AC54&lt;=0)),"Цена тест-драйва за сутки",""),IF(OR(AJ54="",AJ54="Нет"),"Право собственности",""),IF(OR(AK54="",AK54="Нет"),"Справка об отсутствии обременений",""))))</f>
        <v/>
      </c>
      <c r="AN54" s="35">
        <f>IF(NOT(COUNTA(A54:AL54)&gt;0),"",IF(TEXTJOIN(", ",TRUE,IF(AH54="","Описание",""),IF(AND(AE54&lt;&gt;"",AE54&gt;=1,AE54&lt;5),"Фото меньше 5",""),IF(AG54="","Видео",""),IF(H54="","Кадастровый номер",""),IF(AF54="","Ссылка на фото",""))="","",TEXTJOIN(", ",TRUE,IF(AH54="","Описание",""),IF(AND(AE54&lt;&gt;"",AE54&gt;=1,AE54&lt;5),"Фото меньше 5",""),IF(AG54="","Видео",""),IF(H54="","Кадастровый номер",""),IF(AF54="","Ссылка на фото",""))))</f>
        <v/>
      </c>
      <c r="AO54" s="35">
        <f>IF(NOT(COUNTA(A54:AL54)&gt;0),"",IF(AM54="","Можно публиковать","Не хватает"))</f>
        <v/>
      </c>
    </row>
    <row r="55" ht="22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 t="n"/>
      <c r="K55" s="31" t="n"/>
      <c r="L55" s="31" t="n"/>
      <c r="M55" s="32" t="n"/>
      <c r="N55" s="32" t="n"/>
      <c r="O55" s="32" t="n"/>
      <c r="P55" s="32" t="n"/>
      <c r="Q55" s="32" t="n"/>
      <c r="R55" s="32" t="n"/>
      <c r="S55" s="30" t="n"/>
      <c r="T55" s="30" t="n"/>
      <c r="U55" s="30" t="n"/>
      <c r="V55" s="30" t="n"/>
      <c r="W55" s="33" t="n"/>
      <c r="X55" s="33" t="n"/>
      <c r="Y55" s="33" t="n"/>
      <c r="Z55" s="34" t="n"/>
      <c r="AA55" s="34" t="n"/>
      <c r="AB55" s="30" t="n"/>
      <c r="AC55" s="33" t="n"/>
      <c r="AD55" s="33" t="n"/>
      <c r="AE55" s="32" t="n"/>
      <c r="AF55" s="30" t="n"/>
      <c r="AG55" s="30" t="n"/>
      <c r="AH55" s="30" t="n"/>
      <c r="AI55" s="30" t="n"/>
      <c r="AJ55" s="30" t="n"/>
      <c r="AK55" s="30" t="n"/>
      <c r="AL55" s="30" t="n"/>
      <c r="AM55" s="35">
        <f>IF(NOT(COUNTA(A55:AL55)&gt;0),"",IF(TEXTJOIN(", ",TRUE,IF(B55="","Название",""),IF(C55="","Тип недвижимости",""),IF(D55="","Страна",""),IF(E55="","Город",""),IF(F55="","Улица",""),IF(I55="","Валюта",""),IF(OR(AE55="",AE55&lt;1),"Хотя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земли",""),IF(OR(W55="",W55&lt;=0),"Продать сейчас",""),IF(OR(X55="",X55&lt;=0),"Минимальная цена продажи",""),IF(OR(Y55="",Y55&lt;=0),"Стартовая ставка",""),IF(Z55="","Начало аукциона",""),IF(AA55="","Окончание аукциона",""),IF(AND(W55&lt;&gt;"",X55&lt;&gt;"",X55&gt;W55),"Минимальная цена выше «Продать сейчас»",""),IF(AND(W55&lt;&gt;"",X55&lt;&gt;"",X55&lt;=W55,X55&gt;W55*0.9),"Минимальная цена выше 90% от «Продать сейчас»",""),IF(AND(W55&lt;&gt;"",Y55&lt;&gt;"",Y55&gt;W55*0.3),"Стартовая ставка выше 30% от «Продать сейчас»",""),IF(AND(Z55&lt;&gt;"",AA55&lt;&gt;"",AA55&lt;EDATE(Z55,3)+15),"Аукцион короче 3 месяцев и 15 дней",""),IF(AND(AB55="Да",OR(AC55="",AC55&lt;=0)),"Цена тест-драйва за сутки",""),IF(OR(AJ55="",AJ55="Нет"),"Право собственности",""),IF(OR(AK55="",AK55="Нет"),"Справка об отсутствии обременений",""))="","",TEXTJOIN(", ",TRUE,IF(B55="","Название",""),IF(C55="","Тип недвижимости",""),IF(D55="","Страна",""),IF(E55="","Город",""),IF(F55="","Улица",""),IF(I55="","Валюта",""),IF(OR(AE55="",AE55&lt;1),"Хотя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земли",""),IF(OR(W55="",W55&lt;=0),"Продать сейчас",""),IF(OR(X55="",X55&lt;=0),"Минимальная цена продажи",""),IF(OR(Y55="",Y55&lt;=0),"Стартовая ставка",""),IF(Z55="","Начало аукциона",""),IF(AA55="","Окончание аукциона",""),IF(AND(W55&lt;&gt;"",X55&lt;&gt;"",X55&gt;W55),"Минимальная цена выше «Продать сейчас»",""),IF(AND(W55&lt;&gt;"",X55&lt;&gt;"",X55&lt;=W55,X55&gt;W55*0.9),"Минимальная цена выше 90% от «Продать сейчас»",""),IF(AND(W55&lt;&gt;"",Y55&lt;&gt;"",Y55&gt;W55*0.3),"Стартовая ставка выше 30% от «Продать сейчас»",""),IF(AND(Z55&lt;&gt;"",AA55&lt;&gt;"",AA55&lt;EDATE(Z55,3)+15),"Аукцион короче 3 месяцев и 15 дней",""),IF(AND(AB55="Да",OR(AC55="",AC55&lt;=0)),"Цена тест-драйва за сутки",""),IF(OR(AJ55="",AJ55="Нет"),"Право собственности",""),IF(OR(AK55="",AK55="Нет"),"Справка об отсутствии обременений",""))))</f>
        <v/>
      </c>
      <c r="AN55" s="35">
        <f>IF(NOT(COUNTA(A55:AL55)&gt;0),"",IF(TEXTJOIN(", ",TRUE,IF(AH55="","Описание",""),IF(AND(AE55&lt;&gt;"",AE55&gt;=1,AE55&lt;5),"Фото меньше 5",""),IF(AG55="","Видео",""),IF(H55="","Кадастровый номер",""),IF(AF55="","Ссылка на фото",""))="","",TEXTJOIN(", ",TRUE,IF(AH55="","Описание",""),IF(AND(AE55&lt;&gt;"",AE55&gt;=1,AE55&lt;5),"Фото меньше 5",""),IF(AG55="","Видео",""),IF(H55="","Кадастровый номер",""),IF(AF55="","Ссылка на фото",""))))</f>
        <v/>
      </c>
      <c r="AO55" s="35">
        <f>IF(NOT(COUNTA(A55:AL55)&gt;0),"",IF(AM55="","Можно публиковать","Не хватает"))</f>
        <v/>
      </c>
    </row>
    <row r="56" ht="22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7" t="n"/>
      <c r="K56" s="37" t="n"/>
      <c r="L56" s="37" t="n"/>
      <c r="M56" s="38" t="n"/>
      <c r="N56" s="38" t="n"/>
      <c r="O56" s="38" t="n"/>
      <c r="P56" s="38" t="n"/>
      <c r="Q56" s="38" t="n"/>
      <c r="R56" s="38" t="n"/>
      <c r="S56" s="36" t="n"/>
      <c r="T56" s="36" t="n"/>
      <c r="U56" s="36" t="n"/>
      <c r="V56" s="36" t="n"/>
      <c r="W56" s="39" t="n"/>
      <c r="X56" s="39" t="n"/>
      <c r="Y56" s="39" t="n"/>
      <c r="Z56" s="40" t="n"/>
      <c r="AA56" s="40" t="n"/>
      <c r="AB56" s="36" t="n"/>
      <c r="AC56" s="39" t="n"/>
      <c r="AD56" s="39" t="n"/>
      <c r="AE56" s="38" t="n"/>
      <c r="AF56" s="36" t="n"/>
      <c r="AG56" s="36" t="n"/>
      <c r="AH56" s="36" t="n"/>
      <c r="AI56" s="36" t="n"/>
      <c r="AJ56" s="36" t="n"/>
      <c r="AK56" s="36" t="n"/>
      <c r="AL56" s="36" t="n"/>
      <c r="AM56" s="35">
        <f>IF(NOT(COUNTA(A56:AL56)&gt;0),"",IF(TEXTJOIN(", ",TRUE,IF(B56="","Название",""),IF(C56="","Тип недвижимости",""),IF(D56="","Страна",""),IF(E56="","Город",""),IF(F56="","Улица",""),IF(I56="","Валюта",""),IF(OR(AE56="",AE56&lt;1),"Хотя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земли",""),IF(OR(W56="",W56&lt;=0),"Продать сейчас",""),IF(OR(X56="",X56&lt;=0),"Минимальная цена продажи",""),IF(OR(Y56="",Y56&lt;=0),"Стартовая ставка",""),IF(Z56="","Начало аукциона",""),IF(AA56="","Окончание аукциона",""),IF(AND(W56&lt;&gt;"",X56&lt;&gt;"",X56&gt;W56),"Минимальная цена выше «Продать сейчас»",""),IF(AND(W56&lt;&gt;"",X56&lt;&gt;"",X56&lt;=W56,X56&gt;W56*0.9),"Минимальная цена выше 90% от «Продать сейчас»",""),IF(AND(W56&lt;&gt;"",Y56&lt;&gt;"",Y56&gt;W56*0.3),"Стартовая ставка выше 30% от «Продать сейчас»",""),IF(AND(Z56&lt;&gt;"",AA56&lt;&gt;"",AA56&lt;EDATE(Z56,3)+15),"Аукцион короче 3 месяцев и 15 дней",""),IF(AND(AB56="Да",OR(AC56="",AC56&lt;=0)),"Цена тест-драйва за сутки",""),IF(OR(AJ56="",AJ56="Нет"),"Право собственности",""),IF(OR(AK56="",AK56="Нет"),"Справка об отсутствии обременений",""))="","",TEXTJOIN(", ",TRUE,IF(B56="","Название",""),IF(C56="","Тип недвижимости",""),IF(D56="","Страна",""),IF(E56="","Город",""),IF(F56="","Улица",""),IF(I56="","Валюта",""),IF(OR(AE56="",AE56&lt;1),"Хотя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земли",""),IF(OR(W56="",W56&lt;=0),"Продать сейчас",""),IF(OR(X56="",X56&lt;=0),"Минимальная цена продажи",""),IF(OR(Y56="",Y56&lt;=0),"Стартовая ставка",""),IF(Z56="","Начало аукциона",""),IF(AA56="","Окончание аукциона",""),IF(AND(W56&lt;&gt;"",X56&lt;&gt;"",X56&gt;W56),"Минимальная цена выше «Продать сейчас»",""),IF(AND(W56&lt;&gt;"",X56&lt;&gt;"",X56&lt;=W56,X56&gt;W56*0.9),"Минимальная цена выше 90% от «Продать сейчас»",""),IF(AND(W56&lt;&gt;"",Y56&lt;&gt;"",Y56&gt;W56*0.3),"Стартовая ставка выше 30% от «Продать сейчас»",""),IF(AND(Z56&lt;&gt;"",AA56&lt;&gt;"",AA56&lt;EDATE(Z56,3)+15),"Аукцион короче 3 месяцев и 15 дней",""),IF(AND(AB56="Да",OR(AC56="",AC56&lt;=0)),"Цена тест-драйва за сутки",""),IF(OR(AJ56="",AJ56="Нет"),"Право собственности",""),IF(OR(AK56="",AK56="Нет"),"Справка об отсутствии обременений",""))))</f>
        <v/>
      </c>
      <c r="AN56" s="35">
        <f>IF(NOT(COUNTA(A56:AL56)&gt;0),"",IF(TEXTJOIN(", ",TRUE,IF(AH56="","Описание",""),IF(AND(AE56&lt;&gt;"",AE56&gt;=1,AE56&lt;5),"Фото меньше 5",""),IF(AG56="","Видео",""),IF(H56="","Кадастровый номер",""),IF(AF56="","Ссылка на фото",""))="","",TEXTJOIN(", ",TRUE,IF(AH56="","Описание",""),IF(AND(AE56&lt;&gt;"",AE56&gt;=1,AE56&lt;5),"Фото меньше 5",""),IF(AG56="","Видео",""),IF(H56="","Кадастровый номер",""),IF(AF56="","Ссылка на фото",""))))</f>
        <v/>
      </c>
      <c r="AO56" s="35">
        <f>IF(NOT(COUNTA(A56:AL56)&gt;0),"",IF(AM56="","Можно публиковать","Не хватает"))</f>
        <v/>
      </c>
    </row>
    <row r="57" ht="22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  <c r="K57" s="31" t="n"/>
      <c r="L57" s="31" t="n"/>
      <c r="M57" s="32" t="n"/>
      <c r="N57" s="32" t="n"/>
      <c r="O57" s="32" t="n"/>
      <c r="P57" s="32" t="n"/>
      <c r="Q57" s="32" t="n"/>
      <c r="R57" s="32" t="n"/>
      <c r="S57" s="30" t="n"/>
      <c r="T57" s="30" t="n"/>
      <c r="U57" s="30" t="n"/>
      <c r="V57" s="30" t="n"/>
      <c r="W57" s="33" t="n"/>
      <c r="X57" s="33" t="n"/>
      <c r="Y57" s="33" t="n"/>
      <c r="Z57" s="34" t="n"/>
      <c r="AA57" s="34" t="n"/>
      <c r="AB57" s="30" t="n"/>
      <c r="AC57" s="33" t="n"/>
      <c r="AD57" s="33" t="n"/>
      <c r="AE57" s="32" t="n"/>
      <c r="AF57" s="30" t="n"/>
      <c r="AG57" s="30" t="n"/>
      <c r="AH57" s="30" t="n"/>
      <c r="AI57" s="30" t="n"/>
      <c r="AJ57" s="30" t="n"/>
      <c r="AK57" s="30" t="n"/>
      <c r="AL57" s="30" t="n"/>
      <c r="AM57" s="35">
        <f>IF(NOT(COUNTA(A57:AL57)&gt;0),"",IF(TEXTJOIN(", ",TRUE,IF(B57="","Название",""),IF(C57="","Тип недвижимости",""),IF(D57="","Страна",""),IF(E57="","Город",""),IF(F57="","Улица",""),IF(I57="","Валюта",""),IF(OR(AE57="",AE57&lt;1),"Хотя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земли",""),IF(OR(W57="",W57&lt;=0),"Продать сейчас",""),IF(OR(X57="",X57&lt;=0),"Минимальная цена продажи",""),IF(OR(Y57="",Y57&lt;=0),"Стартовая ставка",""),IF(Z57="","Начало аукциона",""),IF(AA57="","Окончание аукциона",""),IF(AND(W57&lt;&gt;"",X57&lt;&gt;"",X57&gt;W57),"Минимальная цена выше «Продать сейчас»",""),IF(AND(W57&lt;&gt;"",X57&lt;&gt;"",X57&lt;=W57,X57&gt;W57*0.9),"Минимальная цена выше 90% от «Продать сейчас»",""),IF(AND(W57&lt;&gt;"",Y57&lt;&gt;"",Y57&gt;W57*0.3),"Стартовая ставка выше 30% от «Продать сейчас»",""),IF(AND(Z57&lt;&gt;"",AA57&lt;&gt;"",AA57&lt;EDATE(Z57,3)+15),"Аукцион короче 3 месяцев и 15 дней",""),IF(AND(AB57="Да",OR(AC57="",AC57&lt;=0)),"Цена тест-драйва за сутки",""),IF(OR(AJ57="",AJ57="Нет"),"Право собственности",""),IF(OR(AK57="",AK57="Нет"),"Справка об отсутствии обременений",""))="","",TEXTJOIN(", ",TRUE,IF(B57="","Название",""),IF(C57="","Тип недвижимости",""),IF(D57="","Страна",""),IF(E57="","Город",""),IF(F57="","Улица",""),IF(I57="","Валюта",""),IF(OR(AE57="",AE57&lt;1),"Хотя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земли",""),IF(OR(W57="",W57&lt;=0),"Продать сейчас",""),IF(OR(X57="",X57&lt;=0),"Минимальная цена продажи",""),IF(OR(Y57="",Y57&lt;=0),"Стартовая ставка",""),IF(Z57="","Начало аукциона",""),IF(AA57="","Окончание аукциона",""),IF(AND(W57&lt;&gt;"",X57&lt;&gt;"",X57&gt;W57),"Минимальная цена выше «Продать сейчас»",""),IF(AND(W57&lt;&gt;"",X57&lt;&gt;"",X57&lt;=W57,X57&gt;W57*0.9),"Минимальная цена выше 90% от «Продать сейчас»",""),IF(AND(W57&lt;&gt;"",Y57&lt;&gt;"",Y57&gt;W57*0.3),"Стартовая ставка выше 30% от «Продать сейчас»",""),IF(AND(Z57&lt;&gt;"",AA57&lt;&gt;"",AA57&lt;EDATE(Z57,3)+15),"Аукцион короче 3 месяцев и 15 дней",""),IF(AND(AB57="Да",OR(AC57="",AC57&lt;=0)),"Цена тест-драйва за сутки",""),IF(OR(AJ57="",AJ57="Нет"),"Право собственности",""),IF(OR(AK57="",AK57="Нет"),"Справка об отсутствии обременений",""))))</f>
        <v/>
      </c>
      <c r="AN57" s="35">
        <f>IF(NOT(COUNTA(A57:AL57)&gt;0),"",IF(TEXTJOIN(", ",TRUE,IF(AH57="","Описание",""),IF(AND(AE57&lt;&gt;"",AE57&gt;=1,AE57&lt;5),"Фото меньше 5",""),IF(AG57="","Видео",""),IF(H57="","Кадастровый номер",""),IF(AF57="","Ссылка на фото",""))="","",TEXTJOIN(", ",TRUE,IF(AH57="","Описание",""),IF(AND(AE57&lt;&gt;"",AE57&gt;=1,AE57&lt;5),"Фото меньше 5",""),IF(AG57="","Видео",""),IF(H57="","Кадастровый номер",""),IF(AF57="","Ссылка на фото",""))))</f>
        <v/>
      </c>
      <c r="AO57" s="35">
        <f>IF(NOT(COUNTA(A57:AL57)&gt;0),"",IF(AM57="","Можно публиковать","Не хватает"))</f>
        <v/>
      </c>
    </row>
    <row r="58" ht="22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7" t="n"/>
      <c r="K58" s="37" t="n"/>
      <c r="L58" s="37" t="n"/>
      <c r="M58" s="38" t="n"/>
      <c r="N58" s="38" t="n"/>
      <c r="O58" s="38" t="n"/>
      <c r="P58" s="38" t="n"/>
      <c r="Q58" s="38" t="n"/>
      <c r="R58" s="38" t="n"/>
      <c r="S58" s="36" t="n"/>
      <c r="T58" s="36" t="n"/>
      <c r="U58" s="36" t="n"/>
      <c r="V58" s="36" t="n"/>
      <c r="W58" s="39" t="n"/>
      <c r="X58" s="39" t="n"/>
      <c r="Y58" s="39" t="n"/>
      <c r="Z58" s="40" t="n"/>
      <c r="AA58" s="40" t="n"/>
      <c r="AB58" s="36" t="n"/>
      <c r="AC58" s="39" t="n"/>
      <c r="AD58" s="39" t="n"/>
      <c r="AE58" s="38" t="n"/>
      <c r="AF58" s="36" t="n"/>
      <c r="AG58" s="36" t="n"/>
      <c r="AH58" s="36" t="n"/>
      <c r="AI58" s="36" t="n"/>
      <c r="AJ58" s="36" t="n"/>
      <c r="AK58" s="36" t="n"/>
      <c r="AL58" s="36" t="n"/>
      <c r="AM58" s="35">
        <f>IF(NOT(COUNTA(A58:AL58)&gt;0),"",IF(TEXTJOIN(", ",TRUE,IF(B58="","Название",""),IF(C58="","Тип недвижимости",""),IF(D58="","Страна",""),IF(E58="","Город",""),IF(F58="","Улица",""),IF(I58="","Валюта",""),IF(OR(AE58="",AE58&lt;1),"Хотя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земли",""),IF(OR(W58="",W58&lt;=0),"Продать сейчас",""),IF(OR(X58="",X58&lt;=0),"Минимальная цена продажи",""),IF(OR(Y58="",Y58&lt;=0),"Стартовая ставка",""),IF(Z58="","Начало аукциона",""),IF(AA58="","Окончание аукциона",""),IF(AND(W58&lt;&gt;"",X58&lt;&gt;"",X58&gt;W58),"Минимальная цена выше «Продать сейчас»",""),IF(AND(W58&lt;&gt;"",X58&lt;&gt;"",X58&lt;=W58,X58&gt;W58*0.9),"Минимальная цена выше 90% от «Продать сейчас»",""),IF(AND(W58&lt;&gt;"",Y58&lt;&gt;"",Y58&gt;W58*0.3),"Стартовая ставка выше 30% от «Продать сейчас»",""),IF(AND(Z58&lt;&gt;"",AA58&lt;&gt;"",AA58&lt;EDATE(Z58,3)+15),"Аукцион короче 3 месяцев и 15 дней",""),IF(AND(AB58="Да",OR(AC58="",AC58&lt;=0)),"Цена тест-драйва за сутки",""),IF(OR(AJ58="",AJ58="Нет"),"Право собственности",""),IF(OR(AK58="",AK58="Нет"),"Справка об отсутствии обременений",""))="","",TEXTJOIN(", ",TRUE,IF(B58="","Название",""),IF(C58="","Тип недвижимости",""),IF(D58="","Страна",""),IF(E58="","Город",""),IF(F58="","Улица",""),IF(I58="","Валюта",""),IF(OR(AE58="",AE58&lt;1),"Хотя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земли",""),IF(OR(W58="",W58&lt;=0),"Продать сейчас",""),IF(OR(X58="",X58&lt;=0),"Минимальная цена продажи",""),IF(OR(Y58="",Y58&lt;=0),"Стартовая ставка",""),IF(Z58="","Начало аукциона",""),IF(AA58="","Окончание аукциона",""),IF(AND(W58&lt;&gt;"",X58&lt;&gt;"",X58&gt;W58),"Минимальная цена выше «Продать сейчас»",""),IF(AND(W58&lt;&gt;"",X58&lt;&gt;"",X58&lt;=W58,X58&gt;W58*0.9),"Минимальная цена выше 90% от «Продать сейчас»",""),IF(AND(W58&lt;&gt;"",Y58&lt;&gt;"",Y58&gt;W58*0.3),"Стартовая ставка выше 30% от «Продать сейчас»",""),IF(AND(Z58&lt;&gt;"",AA58&lt;&gt;"",AA58&lt;EDATE(Z58,3)+15),"Аукцион короче 3 месяцев и 15 дней",""),IF(AND(AB58="Да",OR(AC58="",AC58&lt;=0)),"Цена тест-драйва за сутки",""),IF(OR(AJ58="",AJ58="Нет"),"Право собственности",""),IF(OR(AK58="",AK58="Нет"),"Справка об отсутствии обременений",""))))</f>
        <v/>
      </c>
      <c r="AN58" s="35">
        <f>IF(NOT(COUNTA(A58:AL58)&gt;0),"",IF(TEXTJOIN(", ",TRUE,IF(AH58="","Описание",""),IF(AND(AE58&lt;&gt;"",AE58&gt;=1,AE58&lt;5),"Фото меньше 5",""),IF(AG58="","Видео",""),IF(H58="","Кадастровый номер",""),IF(AF58="","Ссылка на фото",""))="","",TEXTJOIN(", ",TRUE,IF(AH58="","Описание",""),IF(AND(AE58&lt;&gt;"",AE58&gt;=1,AE58&lt;5),"Фото меньше 5",""),IF(AG58="","Видео",""),IF(H58="","Кадастровый номер",""),IF(AF58="","Ссылка на фото",""))))</f>
        <v/>
      </c>
      <c r="AO58" s="35">
        <f>IF(NOT(COUNTA(A58:AL58)&gt;0),"",IF(AM58="","Можно публиковать","Не хватает"))</f>
        <v/>
      </c>
    </row>
    <row r="59" ht="22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  <c r="K59" s="31" t="n"/>
      <c r="L59" s="31" t="n"/>
      <c r="M59" s="32" t="n"/>
      <c r="N59" s="32" t="n"/>
      <c r="O59" s="32" t="n"/>
      <c r="P59" s="32" t="n"/>
      <c r="Q59" s="32" t="n"/>
      <c r="R59" s="32" t="n"/>
      <c r="S59" s="30" t="n"/>
      <c r="T59" s="30" t="n"/>
      <c r="U59" s="30" t="n"/>
      <c r="V59" s="30" t="n"/>
      <c r="W59" s="33" t="n"/>
      <c r="X59" s="33" t="n"/>
      <c r="Y59" s="33" t="n"/>
      <c r="Z59" s="34" t="n"/>
      <c r="AA59" s="34" t="n"/>
      <c r="AB59" s="30" t="n"/>
      <c r="AC59" s="33" t="n"/>
      <c r="AD59" s="33" t="n"/>
      <c r="AE59" s="32" t="n"/>
      <c r="AF59" s="30" t="n"/>
      <c r="AG59" s="30" t="n"/>
      <c r="AH59" s="30" t="n"/>
      <c r="AI59" s="30" t="n"/>
      <c r="AJ59" s="30" t="n"/>
      <c r="AK59" s="30" t="n"/>
      <c r="AL59" s="30" t="n"/>
      <c r="AM59" s="35">
        <f>IF(NOT(COUNTA(A59:AL59)&gt;0),"",IF(TEXTJOIN(", ",TRUE,IF(B59="","Название",""),IF(C59="","Тип недвижимости",""),IF(D59="","Страна",""),IF(E59="","Город",""),IF(F59="","Улица",""),IF(I59="","Валюта",""),IF(OR(AE59="",AE59&lt;1),"Хотя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земли",""),IF(OR(W59="",W59&lt;=0),"Продать сейчас",""),IF(OR(X59="",X59&lt;=0),"Минимальная цена продажи",""),IF(OR(Y59="",Y59&lt;=0),"Стартовая ставка",""),IF(Z59="","Начало аукциона",""),IF(AA59="","Окончание аукциона",""),IF(AND(W59&lt;&gt;"",X59&lt;&gt;"",X59&gt;W59),"Минимальная цена выше «Продать сейчас»",""),IF(AND(W59&lt;&gt;"",X59&lt;&gt;"",X59&lt;=W59,X59&gt;W59*0.9),"Минимальная цена выше 90% от «Продать сейчас»",""),IF(AND(W59&lt;&gt;"",Y59&lt;&gt;"",Y59&gt;W59*0.3),"Стартовая ставка выше 30% от «Продать сейчас»",""),IF(AND(Z59&lt;&gt;"",AA59&lt;&gt;"",AA59&lt;EDATE(Z59,3)+15),"Аукцион короче 3 месяцев и 15 дней",""),IF(AND(AB59="Да",OR(AC59="",AC59&lt;=0)),"Цена тест-драйва за сутки",""),IF(OR(AJ59="",AJ59="Нет"),"Право собственности",""),IF(OR(AK59="",AK59="Нет"),"Справка об отсутствии обременений",""))="","",TEXTJOIN(", ",TRUE,IF(B59="","Название",""),IF(C59="","Тип недвижимости",""),IF(D59="","Страна",""),IF(E59="","Город",""),IF(F59="","Улица",""),IF(I59="","Валюта",""),IF(OR(AE59="",AE59&lt;1),"Хотя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земли",""),IF(OR(W59="",W59&lt;=0),"Продать сейчас",""),IF(OR(X59="",X59&lt;=0),"Минимальная цена продажи",""),IF(OR(Y59="",Y59&lt;=0),"Стартовая ставка",""),IF(Z59="","Начало аукциона",""),IF(AA59="","Окончание аукциона",""),IF(AND(W59&lt;&gt;"",X59&lt;&gt;"",X59&gt;W59),"Минимальная цена выше «Продать сейчас»",""),IF(AND(W59&lt;&gt;"",X59&lt;&gt;"",X59&lt;=W59,X59&gt;W59*0.9),"Минимальная цена выше 90% от «Продать сейчас»",""),IF(AND(W59&lt;&gt;"",Y59&lt;&gt;"",Y59&gt;W59*0.3),"Стартовая ставка выше 30% от «Продать сейчас»",""),IF(AND(Z59&lt;&gt;"",AA59&lt;&gt;"",AA59&lt;EDATE(Z59,3)+15),"Аукцион короче 3 месяцев и 15 дней",""),IF(AND(AB59="Да",OR(AC59="",AC59&lt;=0)),"Цена тест-драйва за сутки",""),IF(OR(AJ59="",AJ59="Нет"),"Право собственности",""),IF(OR(AK59="",AK59="Нет"),"Справка об отсутствии обременений",""))))</f>
        <v/>
      </c>
      <c r="AN59" s="35">
        <f>IF(NOT(COUNTA(A59:AL59)&gt;0),"",IF(TEXTJOIN(", ",TRUE,IF(AH59="","Описание",""),IF(AND(AE59&lt;&gt;"",AE59&gt;=1,AE59&lt;5),"Фото меньше 5",""),IF(AG59="","Видео",""),IF(H59="","Кадастровый номер",""),IF(AF59="","Ссылка на фото",""))="","",TEXTJOIN(", ",TRUE,IF(AH59="","Описание",""),IF(AND(AE59&lt;&gt;"",AE59&gt;=1,AE59&lt;5),"Фото меньше 5",""),IF(AG59="","Видео",""),IF(H59="","Кадастровый номер",""),IF(AF59="","Ссылка на фото",""))))</f>
        <v/>
      </c>
      <c r="AO59" s="35">
        <f>IF(NOT(COUNTA(A59:AL59)&gt;0),"",IF(AM59="","Можно публиковать","Не хватает"))</f>
        <v/>
      </c>
    </row>
    <row r="60" ht="22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7" t="n"/>
      <c r="K60" s="37" t="n"/>
      <c r="L60" s="37" t="n"/>
      <c r="M60" s="38" t="n"/>
      <c r="N60" s="38" t="n"/>
      <c r="O60" s="38" t="n"/>
      <c r="P60" s="38" t="n"/>
      <c r="Q60" s="38" t="n"/>
      <c r="R60" s="38" t="n"/>
      <c r="S60" s="36" t="n"/>
      <c r="T60" s="36" t="n"/>
      <c r="U60" s="36" t="n"/>
      <c r="V60" s="36" t="n"/>
      <c r="W60" s="39" t="n"/>
      <c r="X60" s="39" t="n"/>
      <c r="Y60" s="39" t="n"/>
      <c r="Z60" s="40" t="n"/>
      <c r="AA60" s="40" t="n"/>
      <c r="AB60" s="36" t="n"/>
      <c r="AC60" s="39" t="n"/>
      <c r="AD60" s="39" t="n"/>
      <c r="AE60" s="38" t="n"/>
      <c r="AF60" s="36" t="n"/>
      <c r="AG60" s="36" t="n"/>
      <c r="AH60" s="36" t="n"/>
      <c r="AI60" s="36" t="n"/>
      <c r="AJ60" s="36" t="n"/>
      <c r="AK60" s="36" t="n"/>
      <c r="AL60" s="36" t="n"/>
      <c r="AM60" s="35">
        <f>IF(NOT(COUNTA(A60:AL60)&gt;0),"",IF(TEXTJOIN(", ",TRUE,IF(B60="","Название",""),IF(C60="","Тип недвижимости",""),IF(D60="","Страна",""),IF(E60="","Город",""),IF(F60="","Улица",""),IF(I60="","Валюта",""),IF(OR(AE60="",AE60&lt;1),"Хотя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земли",""),IF(OR(W60="",W60&lt;=0),"Продать сейчас",""),IF(OR(X60="",X60&lt;=0),"Минимальная цена продажи",""),IF(OR(Y60="",Y60&lt;=0),"Стартовая ставка",""),IF(Z60="","Начало аукциона",""),IF(AA60="","Окончание аукциона",""),IF(AND(W60&lt;&gt;"",X60&lt;&gt;"",X60&gt;W60),"Минимальная цена выше «Продать сейчас»",""),IF(AND(W60&lt;&gt;"",X60&lt;&gt;"",X60&lt;=W60,X60&gt;W60*0.9),"Минимальная цена выше 90% от «Продать сейчас»",""),IF(AND(W60&lt;&gt;"",Y60&lt;&gt;"",Y60&gt;W60*0.3),"Стартовая ставка выше 30% от «Продать сейчас»",""),IF(AND(Z60&lt;&gt;"",AA60&lt;&gt;"",AA60&lt;EDATE(Z60,3)+15),"Аукцион короче 3 месяцев и 15 дней",""),IF(AND(AB60="Да",OR(AC60="",AC60&lt;=0)),"Цена тест-драйва за сутки",""),IF(OR(AJ60="",AJ60="Нет"),"Право собственности",""),IF(OR(AK60="",AK60="Нет"),"Справка об отсутствии обременений",""))="","",TEXTJOIN(", ",TRUE,IF(B60="","Название",""),IF(C60="","Тип недвижимости",""),IF(D60="","Страна",""),IF(E60="","Город",""),IF(F60="","Улица",""),IF(I60="","Валюта",""),IF(OR(AE60="",AE60&lt;1),"Хотя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земли",""),IF(OR(W60="",W60&lt;=0),"Продать сейчас",""),IF(OR(X60="",X60&lt;=0),"Минимальная цена продажи",""),IF(OR(Y60="",Y60&lt;=0),"Стартовая ставка",""),IF(Z60="","Начало аукциона",""),IF(AA60="","Окончание аукциона",""),IF(AND(W60&lt;&gt;"",X60&lt;&gt;"",X60&gt;W60),"Минимальная цена выше «Продать сейчас»",""),IF(AND(W60&lt;&gt;"",X60&lt;&gt;"",X60&lt;=W60,X60&gt;W60*0.9),"Минимальная цена выше 90% от «Продать сейчас»",""),IF(AND(W60&lt;&gt;"",Y60&lt;&gt;"",Y60&gt;W60*0.3),"Стартовая ставка выше 30% от «Продать сейчас»",""),IF(AND(Z60&lt;&gt;"",AA60&lt;&gt;"",AA60&lt;EDATE(Z60,3)+15),"Аукцион короче 3 месяцев и 15 дней",""),IF(AND(AB60="Да",OR(AC60="",AC60&lt;=0)),"Цена тест-драйва за сутки",""),IF(OR(AJ60="",AJ60="Нет"),"Право собственности",""),IF(OR(AK60="",AK60="Нет"),"Справка об отсутствии обременений",""))))</f>
        <v/>
      </c>
      <c r="AN60" s="35">
        <f>IF(NOT(COUNTA(A60:AL60)&gt;0),"",IF(TEXTJOIN(", ",TRUE,IF(AH60="","Описание",""),IF(AND(AE60&lt;&gt;"",AE60&gt;=1,AE60&lt;5),"Фото меньше 5",""),IF(AG60="","Видео",""),IF(H60="","Кадастровый номер",""),IF(AF60="","Ссылка на фото",""))="","",TEXTJOIN(", ",TRUE,IF(AH60="","Описание",""),IF(AND(AE60&lt;&gt;"",AE60&gt;=1,AE60&lt;5),"Фото меньше 5",""),IF(AG60="","Видео",""),IF(H60="","Кадастровый номер",""),IF(AF60="","Ссылка на фото",""))))</f>
        <v/>
      </c>
      <c r="AO60" s="35">
        <f>IF(NOT(COUNTA(A60:AL60)&gt;0),"",IF(AM60="","Можно публиковать","Не хватает"))</f>
        <v/>
      </c>
    </row>
    <row r="61" ht="22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 t="n"/>
      <c r="K61" s="31" t="n"/>
      <c r="L61" s="31" t="n"/>
      <c r="M61" s="32" t="n"/>
      <c r="N61" s="32" t="n"/>
      <c r="O61" s="32" t="n"/>
      <c r="P61" s="32" t="n"/>
      <c r="Q61" s="32" t="n"/>
      <c r="R61" s="32" t="n"/>
      <c r="S61" s="30" t="n"/>
      <c r="T61" s="30" t="n"/>
      <c r="U61" s="30" t="n"/>
      <c r="V61" s="30" t="n"/>
      <c r="W61" s="33" t="n"/>
      <c r="X61" s="33" t="n"/>
      <c r="Y61" s="33" t="n"/>
      <c r="Z61" s="34" t="n"/>
      <c r="AA61" s="34" t="n"/>
      <c r="AB61" s="30" t="n"/>
      <c r="AC61" s="33" t="n"/>
      <c r="AD61" s="33" t="n"/>
      <c r="AE61" s="32" t="n"/>
      <c r="AF61" s="30" t="n"/>
      <c r="AG61" s="30" t="n"/>
      <c r="AH61" s="30" t="n"/>
      <c r="AI61" s="30" t="n"/>
      <c r="AJ61" s="30" t="n"/>
      <c r="AK61" s="30" t="n"/>
      <c r="AL61" s="30" t="n"/>
      <c r="AM61" s="35">
        <f>IF(NOT(COUNTA(A61:AL61)&gt;0),"",IF(TEXTJOIN(", ",TRUE,IF(B61="","Название",""),IF(C61="","Тип недвижимости",""),IF(D61="","Страна",""),IF(E61="","Город",""),IF(F61="","Улица",""),IF(I61="","Валюта",""),IF(OR(AE61="",AE61&lt;1),"Хотя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земли",""),IF(OR(W61="",W61&lt;=0),"Продать сейчас",""),IF(OR(X61="",X61&lt;=0),"Минимальная цена продажи",""),IF(OR(Y61="",Y61&lt;=0),"Стартовая ставка",""),IF(Z61="","Начало аукциона",""),IF(AA61="","Окончание аукциона",""),IF(AND(W61&lt;&gt;"",X61&lt;&gt;"",X61&gt;W61),"Минимальная цена выше «Продать сейчас»",""),IF(AND(W61&lt;&gt;"",X61&lt;&gt;"",X61&lt;=W61,X61&gt;W61*0.9),"Минимальная цена выше 90% от «Продать сейчас»",""),IF(AND(W61&lt;&gt;"",Y61&lt;&gt;"",Y61&gt;W61*0.3),"Стартовая ставка выше 30% от «Продать сейчас»",""),IF(AND(Z61&lt;&gt;"",AA61&lt;&gt;"",AA61&lt;EDATE(Z61,3)+15),"Аукцион короче 3 месяцев и 15 дней",""),IF(AND(AB61="Да",OR(AC61="",AC61&lt;=0)),"Цена тест-драйва за сутки",""),IF(OR(AJ61="",AJ61="Нет"),"Право собственности",""),IF(OR(AK61="",AK61="Нет"),"Справка об отсутствии обременений",""))="","",TEXTJOIN(", ",TRUE,IF(B61="","Название",""),IF(C61="","Тип недвижимости",""),IF(D61="","Страна",""),IF(E61="","Город",""),IF(F61="","Улица",""),IF(I61="","Валюта",""),IF(OR(AE61="",AE61&lt;1),"Хотя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земли",""),IF(OR(W61="",W61&lt;=0),"Продать сейчас",""),IF(OR(X61="",X61&lt;=0),"Минимальная цена продажи",""),IF(OR(Y61="",Y61&lt;=0),"Стартовая ставка",""),IF(Z61="","Начало аукциона",""),IF(AA61="","Окончание аукциона",""),IF(AND(W61&lt;&gt;"",X61&lt;&gt;"",X61&gt;W61),"Минимальная цена выше «Продать сейчас»",""),IF(AND(W61&lt;&gt;"",X61&lt;&gt;"",X61&lt;=W61,X61&gt;W61*0.9),"Минимальная цена выше 90% от «Продать сейчас»",""),IF(AND(W61&lt;&gt;"",Y61&lt;&gt;"",Y61&gt;W61*0.3),"Стартовая ставка выше 30% от «Продать сейчас»",""),IF(AND(Z61&lt;&gt;"",AA61&lt;&gt;"",AA61&lt;EDATE(Z61,3)+15),"Аукцион короче 3 месяцев и 15 дней",""),IF(AND(AB61="Да",OR(AC61="",AC61&lt;=0)),"Цена тест-драйва за сутки",""),IF(OR(AJ61="",AJ61="Нет"),"Право собственности",""),IF(OR(AK61="",AK61="Нет"),"Справка об отсутствии обременений",""))))</f>
        <v/>
      </c>
      <c r="AN61" s="35">
        <f>IF(NOT(COUNTA(A61:AL61)&gt;0),"",IF(TEXTJOIN(", ",TRUE,IF(AH61="","Описание",""),IF(AND(AE61&lt;&gt;"",AE61&gt;=1,AE61&lt;5),"Фото меньше 5",""),IF(AG61="","Видео",""),IF(H61="","Кадастровый номер",""),IF(AF61="","Ссылка на фото",""))="","",TEXTJOIN(", ",TRUE,IF(AH61="","Описание",""),IF(AND(AE61&lt;&gt;"",AE61&gt;=1,AE61&lt;5),"Фото меньше 5",""),IF(AG61="","Видео",""),IF(H61="","Кадастровый номер",""),IF(AF61="","Ссылка на фото",""))))</f>
        <v/>
      </c>
      <c r="AO61" s="35">
        <f>IF(NOT(COUNTA(A61:AL61)&gt;0),"",IF(AM61="","Можно публиковать","Не хватает"))</f>
        <v/>
      </c>
    </row>
    <row r="62" ht="22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7" t="n"/>
      <c r="K62" s="37" t="n"/>
      <c r="L62" s="37" t="n"/>
      <c r="M62" s="38" t="n"/>
      <c r="N62" s="38" t="n"/>
      <c r="O62" s="38" t="n"/>
      <c r="P62" s="38" t="n"/>
      <c r="Q62" s="38" t="n"/>
      <c r="R62" s="38" t="n"/>
      <c r="S62" s="36" t="n"/>
      <c r="T62" s="36" t="n"/>
      <c r="U62" s="36" t="n"/>
      <c r="V62" s="36" t="n"/>
      <c r="W62" s="39" t="n"/>
      <c r="X62" s="39" t="n"/>
      <c r="Y62" s="39" t="n"/>
      <c r="Z62" s="40" t="n"/>
      <c r="AA62" s="40" t="n"/>
      <c r="AB62" s="36" t="n"/>
      <c r="AC62" s="39" t="n"/>
      <c r="AD62" s="39" t="n"/>
      <c r="AE62" s="38" t="n"/>
      <c r="AF62" s="36" t="n"/>
      <c r="AG62" s="36" t="n"/>
      <c r="AH62" s="36" t="n"/>
      <c r="AI62" s="36" t="n"/>
      <c r="AJ62" s="36" t="n"/>
      <c r="AK62" s="36" t="n"/>
      <c r="AL62" s="36" t="n"/>
      <c r="AM62" s="35">
        <f>IF(NOT(COUNTA(A62:AL62)&gt;0),"",IF(TEXTJOIN(", ",TRUE,IF(B62="","Название",""),IF(C62="","Тип недвижимости",""),IF(D62="","Страна",""),IF(E62="","Город",""),IF(F62="","Улица",""),IF(I62="","Валюта",""),IF(OR(AE62="",AE62&lt;1),"Хотя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земли",""),IF(OR(W62="",W62&lt;=0),"Продать сейчас",""),IF(OR(X62="",X62&lt;=0),"Минимальная цена продажи",""),IF(OR(Y62="",Y62&lt;=0),"Стартовая ставка",""),IF(Z62="","Начало аукциона",""),IF(AA62="","Окончание аукциона",""),IF(AND(W62&lt;&gt;"",X62&lt;&gt;"",X62&gt;W62),"Минимальная цена выше «Продать сейчас»",""),IF(AND(W62&lt;&gt;"",X62&lt;&gt;"",X62&lt;=W62,X62&gt;W62*0.9),"Минимальная цена выше 90% от «Продать сейчас»",""),IF(AND(W62&lt;&gt;"",Y62&lt;&gt;"",Y62&gt;W62*0.3),"Стартовая ставка выше 30% от «Продать сейчас»",""),IF(AND(Z62&lt;&gt;"",AA62&lt;&gt;"",AA62&lt;EDATE(Z62,3)+15),"Аукцион короче 3 месяцев и 15 дней",""),IF(AND(AB62="Да",OR(AC62="",AC62&lt;=0)),"Цена тест-драйва за сутки",""),IF(OR(AJ62="",AJ62="Нет"),"Право собственности",""),IF(OR(AK62="",AK62="Нет"),"Справка об отсутствии обременений",""))="","",TEXTJOIN(", ",TRUE,IF(B62="","Название",""),IF(C62="","Тип недвижимости",""),IF(D62="","Страна",""),IF(E62="","Город",""),IF(F62="","Улица",""),IF(I62="","Валюта",""),IF(OR(AE62="",AE62&lt;1),"Хотя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земли",""),IF(OR(W62="",W62&lt;=0),"Продать сейчас",""),IF(OR(X62="",X62&lt;=0),"Минимальная цена продажи",""),IF(OR(Y62="",Y62&lt;=0),"Стартовая ставка",""),IF(Z62="","Начало аукциона",""),IF(AA62="","Окончание аукциона",""),IF(AND(W62&lt;&gt;"",X62&lt;&gt;"",X62&gt;W62),"Минимальная цена выше «Продать сейчас»",""),IF(AND(W62&lt;&gt;"",X62&lt;&gt;"",X62&lt;=W62,X62&gt;W62*0.9),"Минимальная цена выше 90% от «Продать сейчас»",""),IF(AND(W62&lt;&gt;"",Y62&lt;&gt;"",Y62&gt;W62*0.3),"Стартовая ставка выше 30% от «Продать сейчас»",""),IF(AND(Z62&lt;&gt;"",AA62&lt;&gt;"",AA62&lt;EDATE(Z62,3)+15),"Аукцион короче 3 месяцев и 15 дней",""),IF(AND(AB62="Да",OR(AC62="",AC62&lt;=0)),"Цена тест-драйва за сутки",""),IF(OR(AJ62="",AJ62="Нет"),"Право собственности",""),IF(OR(AK62="",AK62="Нет"),"Справка об отсутствии обременений",""))))</f>
        <v/>
      </c>
      <c r="AN62" s="35">
        <f>IF(NOT(COUNTA(A62:AL62)&gt;0),"",IF(TEXTJOIN(", ",TRUE,IF(AH62="","Описание",""),IF(AND(AE62&lt;&gt;"",AE62&gt;=1,AE62&lt;5),"Фото меньше 5",""),IF(AG62="","Видео",""),IF(H62="","Кадастровый номер",""),IF(AF62="","Ссылка на фото",""))="","",TEXTJOIN(", ",TRUE,IF(AH62="","Описание",""),IF(AND(AE62&lt;&gt;"",AE62&gt;=1,AE62&lt;5),"Фото меньше 5",""),IF(AG62="","Видео",""),IF(H62="","Кадастровый номер",""),IF(AF62="","Ссылка на фото",""))))</f>
        <v/>
      </c>
      <c r="AO62" s="35">
        <f>IF(NOT(COUNTA(A62:AL62)&gt;0),"",IF(AM62="","Можно публиковать","Не хватает"))</f>
        <v/>
      </c>
    </row>
    <row r="63" ht="22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  <c r="K63" s="31" t="n"/>
      <c r="L63" s="31" t="n"/>
      <c r="M63" s="32" t="n"/>
      <c r="N63" s="32" t="n"/>
      <c r="O63" s="32" t="n"/>
      <c r="P63" s="32" t="n"/>
      <c r="Q63" s="32" t="n"/>
      <c r="R63" s="32" t="n"/>
      <c r="S63" s="30" t="n"/>
      <c r="T63" s="30" t="n"/>
      <c r="U63" s="30" t="n"/>
      <c r="V63" s="30" t="n"/>
      <c r="W63" s="33" t="n"/>
      <c r="X63" s="33" t="n"/>
      <c r="Y63" s="33" t="n"/>
      <c r="Z63" s="34" t="n"/>
      <c r="AA63" s="34" t="n"/>
      <c r="AB63" s="30" t="n"/>
      <c r="AC63" s="33" t="n"/>
      <c r="AD63" s="33" t="n"/>
      <c r="AE63" s="32" t="n"/>
      <c r="AF63" s="30" t="n"/>
      <c r="AG63" s="30" t="n"/>
      <c r="AH63" s="30" t="n"/>
      <c r="AI63" s="30" t="n"/>
      <c r="AJ63" s="30" t="n"/>
      <c r="AK63" s="30" t="n"/>
      <c r="AL63" s="30" t="n"/>
      <c r="AM63" s="35">
        <f>IF(NOT(COUNTA(A63:AL63)&gt;0),"",IF(TEXTJOIN(", ",TRUE,IF(B63="","Название",""),IF(C63="","Тип недвижимости",""),IF(D63="","Страна",""),IF(E63="","Город",""),IF(F63="","Улица",""),IF(I63="","Валюта",""),IF(OR(AE63="",AE63&lt;1),"Хотя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земли",""),IF(OR(W63="",W63&lt;=0),"Продать сейчас",""),IF(OR(X63="",X63&lt;=0),"Минимальная цена продажи",""),IF(OR(Y63="",Y63&lt;=0),"Стартовая ставка",""),IF(Z63="","Начало аукциона",""),IF(AA63="","Окончание аукциона",""),IF(AND(W63&lt;&gt;"",X63&lt;&gt;"",X63&gt;W63),"Минимальная цена выше «Продать сейчас»",""),IF(AND(W63&lt;&gt;"",X63&lt;&gt;"",X63&lt;=W63,X63&gt;W63*0.9),"Минимальная цена выше 90% от «Продать сейчас»",""),IF(AND(W63&lt;&gt;"",Y63&lt;&gt;"",Y63&gt;W63*0.3),"Стартовая ставка выше 30% от «Продать сейчас»",""),IF(AND(Z63&lt;&gt;"",AA63&lt;&gt;"",AA63&lt;EDATE(Z63,3)+15),"Аукцион короче 3 месяцев и 15 дней",""),IF(AND(AB63="Да",OR(AC63="",AC63&lt;=0)),"Цена тест-драйва за сутки",""),IF(OR(AJ63="",AJ63="Нет"),"Право собственности",""),IF(OR(AK63="",AK63="Нет"),"Справка об отсутствии обременений",""))="","",TEXTJOIN(", ",TRUE,IF(B63="","Название",""),IF(C63="","Тип недвижимости",""),IF(D63="","Страна",""),IF(E63="","Город",""),IF(F63="","Улица",""),IF(I63="","Валюта",""),IF(OR(AE63="",AE63&lt;1),"Хотя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земли",""),IF(OR(W63="",W63&lt;=0),"Продать сейчас",""),IF(OR(X63="",X63&lt;=0),"Минимальная цена продажи",""),IF(OR(Y63="",Y63&lt;=0),"Стартовая ставка",""),IF(Z63="","Начало аукциона",""),IF(AA63="","Окончание аукциона",""),IF(AND(W63&lt;&gt;"",X63&lt;&gt;"",X63&gt;W63),"Минимальная цена выше «Продать сейчас»",""),IF(AND(W63&lt;&gt;"",X63&lt;&gt;"",X63&lt;=W63,X63&gt;W63*0.9),"Минимальная цена выше 90% от «Продать сейчас»",""),IF(AND(W63&lt;&gt;"",Y63&lt;&gt;"",Y63&gt;W63*0.3),"Стартовая ставка выше 30% от «Продать сейчас»",""),IF(AND(Z63&lt;&gt;"",AA63&lt;&gt;"",AA63&lt;EDATE(Z63,3)+15),"Аукцион короче 3 месяцев и 15 дней",""),IF(AND(AB63="Да",OR(AC63="",AC63&lt;=0)),"Цена тест-драйва за сутки",""),IF(OR(AJ63="",AJ63="Нет"),"Право собственности",""),IF(OR(AK63="",AK63="Нет"),"Справка об отсутствии обременений",""))))</f>
        <v/>
      </c>
      <c r="AN63" s="35">
        <f>IF(NOT(COUNTA(A63:AL63)&gt;0),"",IF(TEXTJOIN(", ",TRUE,IF(AH63="","Описание",""),IF(AND(AE63&lt;&gt;"",AE63&gt;=1,AE63&lt;5),"Фото меньше 5",""),IF(AG63="","Видео",""),IF(H63="","Кадастровый номер",""),IF(AF63="","Ссылка на фото",""))="","",TEXTJOIN(", ",TRUE,IF(AH63="","Описание",""),IF(AND(AE63&lt;&gt;"",AE63&gt;=1,AE63&lt;5),"Фото меньше 5",""),IF(AG63="","Видео",""),IF(H63="","Кадастровый номер",""),IF(AF63="","Ссылка на фото",""))))</f>
        <v/>
      </c>
      <c r="AO63" s="35">
        <f>IF(NOT(COUNTA(A63:AL63)&gt;0),"",IF(AM63="","Можно публиковать","Не хватает"))</f>
        <v/>
      </c>
    </row>
    <row r="64" ht="22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7" t="n"/>
      <c r="K64" s="37" t="n"/>
      <c r="L64" s="37" t="n"/>
      <c r="M64" s="38" t="n"/>
      <c r="N64" s="38" t="n"/>
      <c r="O64" s="38" t="n"/>
      <c r="P64" s="38" t="n"/>
      <c r="Q64" s="38" t="n"/>
      <c r="R64" s="38" t="n"/>
      <c r="S64" s="36" t="n"/>
      <c r="T64" s="36" t="n"/>
      <c r="U64" s="36" t="n"/>
      <c r="V64" s="36" t="n"/>
      <c r="W64" s="39" t="n"/>
      <c r="X64" s="39" t="n"/>
      <c r="Y64" s="39" t="n"/>
      <c r="Z64" s="40" t="n"/>
      <c r="AA64" s="40" t="n"/>
      <c r="AB64" s="36" t="n"/>
      <c r="AC64" s="39" t="n"/>
      <c r="AD64" s="39" t="n"/>
      <c r="AE64" s="38" t="n"/>
      <c r="AF64" s="36" t="n"/>
      <c r="AG64" s="36" t="n"/>
      <c r="AH64" s="36" t="n"/>
      <c r="AI64" s="36" t="n"/>
      <c r="AJ64" s="36" t="n"/>
      <c r="AK64" s="36" t="n"/>
      <c r="AL64" s="36" t="n"/>
      <c r="AM64" s="35">
        <f>IF(NOT(COUNTA(A64:AL64)&gt;0),"",IF(TEXTJOIN(", ",TRUE,IF(B64="","Название",""),IF(C64="","Тип недвижимости",""),IF(D64="","Страна",""),IF(E64="","Город",""),IF(F64="","Улица",""),IF(I64="","Валюта",""),IF(OR(AE64="",AE64&lt;1),"Хотя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земли",""),IF(OR(W64="",W64&lt;=0),"Продать сейчас",""),IF(OR(X64="",X64&lt;=0),"Минимальная цена продажи",""),IF(OR(Y64="",Y64&lt;=0),"Стартовая ставка",""),IF(Z64="","Начало аукциона",""),IF(AA64="","Окончание аукциона",""),IF(AND(W64&lt;&gt;"",X64&lt;&gt;"",X64&gt;W64),"Минимальная цена выше «Продать сейчас»",""),IF(AND(W64&lt;&gt;"",X64&lt;&gt;"",X64&lt;=W64,X64&gt;W64*0.9),"Минимальная цена выше 90% от «Продать сейчас»",""),IF(AND(W64&lt;&gt;"",Y64&lt;&gt;"",Y64&gt;W64*0.3),"Стартовая ставка выше 30% от «Продать сейчас»",""),IF(AND(Z64&lt;&gt;"",AA64&lt;&gt;"",AA64&lt;EDATE(Z64,3)+15),"Аукцион короче 3 месяцев и 15 дней",""),IF(AND(AB64="Да",OR(AC64="",AC64&lt;=0)),"Цена тест-драйва за сутки",""),IF(OR(AJ64="",AJ64="Нет"),"Право собственности",""),IF(OR(AK64="",AK64="Нет"),"Справка об отсутствии обременений",""))="","",TEXTJOIN(", ",TRUE,IF(B64="","Название",""),IF(C64="","Тип недвижимости",""),IF(D64="","Страна",""),IF(E64="","Город",""),IF(F64="","Улица",""),IF(I64="","Валюта",""),IF(OR(AE64="",AE64&lt;1),"Хотя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земли",""),IF(OR(W64="",W64&lt;=0),"Продать сейчас",""),IF(OR(X64="",X64&lt;=0),"Минимальная цена продажи",""),IF(OR(Y64="",Y64&lt;=0),"Стартовая ставка",""),IF(Z64="","Начало аукциона",""),IF(AA64="","Окончание аукциона",""),IF(AND(W64&lt;&gt;"",X64&lt;&gt;"",X64&gt;W64),"Минимальная цена выше «Продать сейчас»",""),IF(AND(W64&lt;&gt;"",X64&lt;&gt;"",X64&lt;=W64,X64&gt;W64*0.9),"Минимальная цена выше 90% от «Продать сейчас»",""),IF(AND(W64&lt;&gt;"",Y64&lt;&gt;"",Y64&gt;W64*0.3),"Стартовая ставка выше 30% от «Продать сейчас»",""),IF(AND(Z64&lt;&gt;"",AA64&lt;&gt;"",AA64&lt;EDATE(Z64,3)+15),"Аукцион короче 3 месяцев и 15 дней",""),IF(AND(AB64="Да",OR(AC64="",AC64&lt;=0)),"Цена тест-драйва за сутки",""),IF(OR(AJ64="",AJ64="Нет"),"Право собственности",""),IF(OR(AK64="",AK64="Нет"),"Справка об отсутствии обременений",""))))</f>
        <v/>
      </c>
      <c r="AN64" s="35">
        <f>IF(NOT(COUNTA(A64:AL64)&gt;0),"",IF(TEXTJOIN(", ",TRUE,IF(AH64="","Описание",""),IF(AND(AE64&lt;&gt;"",AE64&gt;=1,AE64&lt;5),"Фото меньше 5",""),IF(AG64="","Видео",""),IF(H64="","Кадастровый номер",""),IF(AF64="","Ссылка на фото",""))="","",TEXTJOIN(", ",TRUE,IF(AH64="","Описание",""),IF(AND(AE64&lt;&gt;"",AE64&gt;=1,AE64&lt;5),"Фото меньше 5",""),IF(AG64="","Видео",""),IF(H64="","Кадастровый номер",""),IF(AF64="","Ссылка на фото",""))))</f>
        <v/>
      </c>
      <c r="AO64" s="35">
        <f>IF(NOT(COUNTA(A64:AL64)&gt;0),"",IF(AM64="","Можно публиковать","Не хватает"))</f>
        <v/>
      </c>
    </row>
    <row r="65" ht="22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 t="n"/>
      <c r="K65" s="31" t="n"/>
      <c r="L65" s="31" t="n"/>
      <c r="M65" s="32" t="n"/>
      <c r="N65" s="32" t="n"/>
      <c r="O65" s="32" t="n"/>
      <c r="P65" s="32" t="n"/>
      <c r="Q65" s="32" t="n"/>
      <c r="R65" s="32" t="n"/>
      <c r="S65" s="30" t="n"/>
      <c r="T65" s="30" t="n"/>
      <c r="U65" s="30" t="n"/>
      <c r="V65" s="30" t="n"/>
      <c r="W65" s="33" t="n"/>
      <c r="X65" s="33" t="n"/>
      <c r="Y65" s="33" t="n"/>
      <c r="Z65" s="34" t="n"/>
      <c r="AA65" s="34" t="n"/>
      <c r="AB65" s="30" t="n"/>
      <c r="AC65" s="33" t="n"/>
      <c r="AD65" s="33" t="n"/>
      <c r="AE65" s="32" t="n"/>
      <c r="AF65" s="30" t="n"/>
      <c r="AG65" s="30" t="n"/>
      <c r="AH65" s="30" t="n"/>
      <c r="AI65" s="30" t="n"/>
      <c r="AJ65" s="30" t="n"/>
      <c r="AK65" s="30" t="n"/>
      <c r="AL65" s="30" t="n"/>
      <c r="AM65" s="35">
        <f>IF(NOT(COUNTA(A65:AL65)&gt;0),"",IF(TEXTJOIN(", ",TRUE,IF(B65="","Название",""),IF(C65="","Тип недвижимости",""),IF(D65="","Страна",""),IF(E65="","Город",""),IF(F65="","Улица",""),IF(I65="","Валюта",""),IF(OR(AE65="",AE65&lt;1),"Хотя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земли",""),IF(OR(W65="",W65&lt;=0),"Продать сейчас",""),IF(OR(X65="",X65&lt;=0),"Минимальная цена продажи",""),IF(OR(Y65="",Y65&lt;=0),"Стартовая ставка",""),IF(Z65="","Начало аукциона",""),IF(AA65="","Окончание аукциона",""),IF(AND(W65&lt;&gt;"",X65&lt;&gt;"",X65&gt;W65),"Минимальная цена выше «Продать сейчас»",""),IF(AND(W65&lt;&gt;"",X65&lt;&gt;"",X65&lt;=W65,X65&gt;W65*0.9),"Минимальная цена выше 90% от «Продать сейчас»",""),IF(AND(W65&lt;&gt;"",Y65&lt;&gt;"",Y65&gt;W65*0.3),"Стартовая ставка выше 30% от «Продать сейчас»",""),IF(AND(Z65&lt;&gt;"",AA65&lt;&gt;"",AA65&lt;EDATE(Z65,3)+15),"Аукцион короче 3 месяцев и 15 дней",""),IF(AND(AB65="Да",OR(AC65="",AC65&lt;=0)),"Цена тест-драйва за сутки",""),IF(OR(AJ65="",AJ65="Нет"),"Право собственности",""),IF(OR(AK65="",AK65="Нет"),"Справка об отсутствии обременений",""))="","",TEXTJOIN(", ",TRUE,IF(B65="","Название",""),IF(C65="","Тип недвижимости",""),IF(D65="","Страна",""),IF(E65="","Город",""),IF(F65="","Улица",""),IF(I65="","Валюта",""),IF(OR(AE65="",AE65&lt;1),"Хотя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земли",""),IF(OR(W65="",W65&lt;=0),"Продать сейчас",""),IF(OR(X65="",X65&lt;=0),"Минимальная цена продажи",""),IF(OR(Y65="",Y65&lt;=0),"Стартовая ставка",""),IF(Z65="","Начало аукциона",""),IF(AA65="","Окончание аукциона",""),IF(AND(W65&lt;&gt;"",X65&lt;&gt;"",X65&gt;W65),"Минимальная цена выше «Продать сейчас»",""),IF(AND(W65&lt;&gt;"",X65&lt;&gt;"",X65&lt;=W65,X65&gt;W65*0.9),"Минимальная цена выше 90% от «Продать сейчас»",""),IF(AND(W65&lt;&gt;"",Y65&lt;&gt;"",Y65&gt;W65*0.3),"Стартовая ставка выше 30% от «Продать сейчас»",""),IF(AND(Z65&lt;&gt;"",AA65&lt;&gt;"",AA65&lt;EDATE(Z65,3)+15),"Аукцион короче 3 месяцев и 15 дней",""),IF(AND(AB65="Да",OR(AC65="",AC65&lt;=0)),"Цена тест-драйва за сутки",""),IF(OR(AJ65="",AJ65="Нет"),"Право собственности",""),IF(OR(AK65="",AK65="Нет"),"Справка об отсутствии обременений",""))))</f>
        <v/>
      </c>
      <c r="AN65" s="35">
        <f>IF(NOT(COUNTA(A65:AL65)&gt;0),"",IF(TEXTJOIN(", ",TRUE,IF(AH65="","Описание",""),IF(AND(AE65&lt;&gt;"",AE65&gt;=1,AE65&lt;5),"Фото меньше 5",""),IF(AG65="","Видео",""),IF(H65="","Кадастровый номер",""),IF(AF65="","Ссылка на фото",""))="","",TEXTJOIN(", ",TRUE,IF(AH65="","Описание",""),IF(AND(AE65&lt;&gt;"",AE65&gt;=1,AE65&lt;5),"Фото меньше 5",""),IF(AG65="","Видео",""),IF(H65="","Кадастровый номер",""),IF(AF65="","Ссылка на фото",""))))</f>
        <v/>
      </c>
      <c r="AO65" s="35">
        <f>IF(NOT(COUNTA(A65:AL65)&gt;0),"",IF(AM65="","Можно публиковать","Не хватает"))</f>
        <v/>
      </c>
    </row>
    <row r="66" ht="22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7" t="n"/>
      <c r="K66" s="37" t="n"/>
      <c r="L66" s="37" t="n"/>
      <c r="M66" s="38" t="n"/>
      <c r="N66" s="38" t="n"/>
      <c r="O66" s="38" t="n"/>
      <c r="P66" s="38" t="n"/>
      <c r="Q66" s="38" t="n"/>
      <c r="R66" s="38" t="n"/>
      <c r="S66" s="36" t="n"/>
      <c r="T66" s="36" t="n"/>
      <c r="U66" s="36" t="n"/>
      <c r="V66" s="36" t="n"/>
      <c r="W66" s="39" t="n"/>
      <c r="X66" s="39" t="n"/>
      <c r="Y66" s="39" t="n"/>
      <c r="Z66" s="40" t="n"/>
      <c r="AA66" s="40" t="n"/>
      <c r="AB66" s="36" t="n"/>
      <c r="AC66" s="39" t="n"/>
      <c r="AD66" s="39" t="n"/>
      <c r="AE66" s="38" t="n"/>
      <c r="AF66" s="36" t="n"/>
      <c r="AG66" s="36" t="n"/>
      <c r="AH66" s="36" t="n"/>
      <c r="AI66" s="36" t="n"/>
      <c r="AJ66" s="36" t="n"/>
      <c r="AK66" s="36" t="n"/>
      <c r="AL66" s="36" t="n"/>
      <c r="AM66" s="35">
        <f>IF(NOT(COUNTA(A66:AL66)&gt;0),"",IF(TEXTJOIN(", ",TRUE,IF(B66="","Название",""),IF(C66="","Тип недвижимости",""),IF(D66="","Страна",""),IF(E66="","Город",""),IF(F66="","Улица",""),IF(I66="","Валюта",""),IF(OR(AE66="",AE66&lt;1),"Хотя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земли",""),IF(OR(W66="",W66&lt;=0),"Продать сейчас",""),IF(OR(X66="",X66&lt;=0),"Минимальная цена продажи",""),IF(OR(Y66="",Y66&lt;=0),"Стартовая ставка",""),IF(Z66="","Начало аукциона",""),IF(AA66="","Окончание аукциона",""),IF(AND(W66&lt;&gt;"",X66&lt;&gt;"",X66&gt;W66),"Минимальная цена выше «Продать сейчас»",""),IF(AND(W66&lt;&gt;"",X66&lt;&gt;"",X66&lt;=W66,X66&gt;W66*0.9),"Минимальная цена выше 90% от «Продать сейчас»",""),IF(AND(W66&lt;&gt;"",Y66&lt;&gt;"",Y66&gt;W66*0.3),"Стартовая ставка выше 30% от «Продать сейчас»",""),IF(AND(Z66&lt;&gt;"",AA66&lt;&gt;"",AA66&lt;EDATE(Z66,3)+15),"Аукцион короче 3 месяцев и 15 дней",""),IF(AND(AB66="Да",OR(AC66="",AC66&lt;=0)),"Цена тест-драйва за сутки",""),IF(OR(AJ66="",AJ66="Нет"),"Право собственности",""),IF(OR(AK66="",AK66="Нет"),"Справка об отсутствии обременений",""))="","",TEXTJOIN(", ",TRUE,IF(B66="","Название",""),IF(C66="","Тип недвижимости",""),IF(D66="","Страна",""),IF(E66="","Город",""),IF(F66="","Улица",""),IF(I66="","Валюта",""),IF(OR(AE66="",AE66&lt;1),"Хотя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земли",""),IF(OR(W66="",W66&lt;=0),"Продать сейчас",""),IF(OR(X66="",X66&lt;=0),"Минимальная цена продажи",""),IF(OR(Y66="",Y66&lt;=0),"Стартовая ставка",""),IF(Z66="","Начало аукциона",""),IF(AA66="","Окончание аукциона",""),IF(AND(W66&lt;&gt;"",X66&lt;&gt;"",X66&gt;W66),"Минимальная цена выше «Продать сейчас»",""),IF(AND(W66&lt;&gt;"",X66&lt;&gt;"",X66&lt;=W66,X66&gt;W66*0.9),"Минимальная цена выше 90% от «Продать сейчас»",""),IF(AND(W66&lt;&gt;"",Y66&lt;&gt;"",Y66&gt;W66*0.3),"Стартовая ставка выше 30% от «Продать сейчас»",""),IF(AND(Z66&lt;&gt;"",AA66&lt;&gt;"",AA66&lt;EDATE(Z66,3)+15),"Аукцион короче 3 месяцев и 15 дней",""),IF(AND(AB66="Да",OR(AC66="",AC66&lt;=0)),"Цена тест-драйва за сутки",""),IF(OR(AJ66="",AJ66="Нет"),"Право собственности",""),IF(OR(AK66="",AK66="Нет"),"Справка об отсутствии обременений",""))))</f>
        <v/>
      </c>
      <c r="AN66" s="35">
        <f>IF(NOT(COUNTA(A66:AL66)&gt;0),"",IF(TEXTJOIN(", ",TRUE,IF(AH66="","Описание",""),IF(AND(AE66&lt;&gt;"",AE66&gt;=1,AE66&lt;5),"Фото меньше 5",""),IF(AG66="","Видео",""),IF(H66="","Кадастровый номер",""),IF(AF66="","Ссылка на фото",""))="","",TEXTJOIN(", ",TRUE,IF(AH66="","Описание",""),IF(AND(AE66&lt;&gt;"",AE66&gt;=1,AE66&lt;5),"Фото меньше 5",""),IF(AG66="","Видео",""),IF(H66="","Кадастровый номер",""),IF(AF66="","Ссылка на фото",""))))</f>
        <v/>
      </c>
      <c r="AO66" s="35">
        <f>IF(NOT(COUNTA(A66:AL66)&gt;0),"",IF(AM66="","Можно публиковать","Не хватает"))</f>
        <v/>
      </c>
    </row>
    <row r="67" ht="22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 t="n"/>
      <c r="K67" s="31" t="n"/>
      <c r="L67" s="31" t="n"/>
      <c r="M67" s="32" t="n"/>
      <c r="N67" s="32" t="n"/>
      <c r="O67" s="32" t="n"/>
      <c r="P67" s="32" t="n"/>
      <c r="Q67" s="32" t="n"/>
      <c r="R67" s="32" t="n"/>
      <c r="S67" s="30" t="n"/>
      <c r="T67" s="30" t="n"/>
      <c r="U67" s="30" t="n"/>
      <c r="V67" s="30" t="n"/>
      <c r="W67" s="33" t="n"/>
      <c r="X67" s="33" t="n"/>
      <c r="Y67" s="33" t="n"/>
      <c r="Z67" s="34" t="n"/>
      <c r="AA67" s="34" t="n"/>
      <c r="AB67" s="30" t="n"/>
      <c r="AC67" s="33" t="n"/>
      <c r="AD67" s="33" t="n"/>
      <c r="AE67" s="32" t="n"/>
      <c r="AF67" s="30" t="n"/>
      <c r="AG67" s="30" t="n"/>
      <c r="AH67" s="30" t="n"/>
      <c r="AI67" s="30" t="n"/>
      <c r="AJ67" s="30" t="n"/>
      <c r="AK67" s="30" t="n"/>
      <c r="AL67" s="30" t="n"/>
      <c r="AM67" s="35">
        <f>IF(NOT(COUNTA(A67:AL67)&gt;0),"",IF(TEXTJOIN(", ",TRUE,IF(B67="","Название",""),IF(C67="","Тип недвижимости",""),IF(D67="","Страна",""),IF(E67="","Город",""),IF(F67="","Улица",""),IF(I67="","Валюта",""),IF(OR(AE67="",AE67&lt;1),"Хотя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земли",""),IF(OR(W67="",W67&lt;=0),"Продать сейчас",""),IF(OR(X67="",X67&lt;=0),"Минимальная цена продажи",""),IF(OR(Y67="",Y67&lt;=0),"Стартовая ставка",""),IF(Z67="","Начало аукциона",""),IF(AA67="","Окончание аукциона",""),IF(AND(W67&lt;&gt;"",X67&lt;&gt;"",X67&gt;W67),"Минимальная цена выше «Продать сейчас»",""),IF(AND(W67&lt;&gt;"",X67&lt;&gt;"",X67&lt;=W67,X67&gt;W67*0.9),"Минимальная цена выше 90% от «Продать сейчас»",""),IF(AND(W67&lt;&gt;"",Y67&lt;&gt;"",Y67&gt;W67*0.3),"Стартовая ставка выше 30% от «Продать сейчас»",""),IF(AND(Z67&lt;&gt;"",AA67&lt;&gt;"",AA67&lt;EDATE(Z67,3)+15),"Аукцион короче 3 месяцев и 15 дней",""),IF(AND(AB67="Да",OR(AC67="",AC67&lt;=0)),"Цена тест-драйва за сутки",""),IF(OR(AJ67="",AJ67="Нет"),"Право собственности",""),IF(OR(AK67="",AK67="Нет"),"Справка об отсутствии обременений",""))="","",TEXTJOIN(", ",TRUE,IF(B67="","Название",""),IF(C67="","Тип недвижимости",""),IF(D67="","Страна",""),IF(E67="","Город",""),IF(F67="","Улица",""),IF(I67="","Валюта",""),IF(OR(AE67="",AE67&lt;1),"Хотя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земли",""),IF(OR(W67="",W67&lt;=0),"Продать сейчас",""),IF(OR(X67="",X67&lt;=0),"Минимальная цена продажи",""),IF(OR(Y67="",Y67&lt;=0),"Стартовая ставка",""),IF(Z67="","Начало аукциона",""),IF(AA67="","Окончание аукциона",""),IF(AND(W67&lt;&gt;"",X67&lt;&gt;"",X67&gt;W67),"Минимальная цена выше «Продать сейчас»",""),IF(AND(W67&lt;&gt;"",X67&lt;&gt;"",X67&lt;=W67,X67&gt;W67*0.9),"Минимальная цена выше 90% от «Продать сейчас»",""),IF(AND(W67&lt;&gt;"",Y67&lt;&gt;"",Y67&gt;W67*0.3),"Стартовая ставка выше 30% от «Продать сейчас»",""),IF(AND(Z67&lt;&gt;"",AA67&lt;&gt;"",AA67&lt;EDATE(Z67,3)+15),"Аукцион короче 3 месяцев и 15 дней",""),IF(AND(AB67="Да",OR(AC67="",AC67&lt;=0)),"Цена тест-драйва за сутки",""),IF(OR(AJ67="",AJ67="Нет"),"Право собственности",""),IF(OR(AK67="",AK67="Нет"),"Справка об отсутствии обременений",""))))</f>
        <v/>
      </c>
      <c r="AN67" s="35">
        <f>IF(NOT(COUNTA(A67:AL67)&gt;0),"",IF(TEXTJOIN(", ",TRUE,IF(AH67="","Описание",""),IF(AND(AE67&lt;&gt;"",AE67&gt;=1,AE67&lt;5),"Фото меньше 5",""),IF(AG67="","Видео",""),IF(H67="","Кадастровый номер",""),IF(AF67="","Ссылка на фото",""))="","",TEXTJOIN(", ",TRUE,IF(AH67="","Описание",""),IF(AND(AE67&lt;&gt;"",AE67&gt;=1,AE67&lt;5),"Фото меньше 5",""),IF(AG67="","Видео",""),IF(H67="","Кадастровый номер",""),IF(AF67="","Ссылка на фото",""))))</f>
        <v/>
      </c>
      <c r="AO67" s="35">
        <f>IF(NOT(COUNTA(A67:AL67)&gt;0),"",IF(AM67="","Можно публиковать","Не хватает"))</f>
        <v/>
      </c>
    </row>
    <row r="68" ht="22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7" t="n"/>
      <c r="K68" s="37" t="n"/>
      <c r="L68" s="37" t="n"/>
      <c r="M68" s="38" t="n"/>
      <c r="N68" s="38" t="n"/>
      <c r="O68" s="38" t="n"/>
      <c r="P68" s="38" t="n"/>
      <c r="Q68" s="38" t="n"/>
      <c r="R68" s="38" t="n"/>
      <c r="S68" s="36" t="n"/>
      <c r="T68" s="36" t="n"/>
      <c r="U68" s="36" t="n"/>
      <c r="V68" s="36" t="n"/>
      <c r="W68" s="39" t="n"/>
      <c r="X68" s="39" t="n"/>
      <c r="Y68" s="39" t="n"/>
      <c r="Z68" s="40" t="n"/>
      <c r="AA68" s="40" t="n"/>
      <c r="AB68" s="36" t="n"/>
      <c r="AC68" s="39" t="n"/>
      <c r="AD68" s="39" t="n"/>
      <c r="AE68" s="38" t="n"/>
      <c r="AF68" s="36" t="n"/>
      <c r="AG68" s="36" t="n"/>
      <c r="AH68" s="36" t="n"/>
      <c r="AI68" s="36" t="n"/>
      <c r="AJ68" s="36" t="n"/>
      <c r="AK68" s="36" t="n"/>
      <c r="AL68" s="36" t="n"/>
      <c r="AM68" s="35">
        <f>IF(NOT(COUNTA(A68:AL68)&gt;0),"",IF(TEXTJOIN(", ",TRUE,IF(B68="","Название",""),IF(C68="","Тип недвижимости",""),IF(D68="","Страна",""),IF(E68="","Город",""),IF(F68="","Улица",""),IF(I68="","Валюта",""),IF(OR(AE68="",AE68&lt;1),"Хотя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земли",""),IF(OR(W68="",W68&lt;=0),"Продать сейчас",""),IF(OR(X68="",X68&lt;=0),"Минимальная цена продажи",""),IF(OR(Y68="",Y68&lt;=0),"Стартовая ставка",""),IF(Z68="","Начало аукциона",""),IF(AA68="","Окончание аукциона",""),IF(AND(W68&lt;&gt;"",X68&lt;&gt;"",X68&gt;W68),"Минимальная цена выше «Продать сейчас»",""),IF(AND(W68&lt;&gt;"",X68&lt;&gt;"",X68&lt;=W68,X68&gt;W68*0.9),"Минимальная цена выше 90% от «Продать сейчас»",""),IF(AND(W68&lt;&gt;"",Y68&lt;&gt;"",Y68&gt;W68*0.3),"Стартовая ставка выше 30% от «Продать сейчас»",""),IF(AND(Z68&lt;&gt;"",AA68&lt;&gt;"",AA68&lt;EDATE(Z68,3)+15),"Аукцион короче 3 месяцев и 15 дней",""),IF(AND(AB68="Да",OR(AC68="",AC68&lt;=0)),"Цена тест-драйва за сутки",""),IF(OR(AJ68="",AJ68="Нет"),"Право собственности",""),IF(OR(AK68="",AK68="Нет"),"Справка об отсутствии обременений",""))="","",TEXTJOIN(", ",TRUE,IF(B68="","Название",""),IF(C68="","Тип недвижимости",""),IF(D68="","Страна",""),IF(E68="","Город",""),IF(F68="","Улица",""),IF(I68="","Валюта",""),IF(OR(AE68="",AE68&lt;1),"Хотя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земли",""),IF(OR(W68="",W68&lt;=0),"Продать сейчас",""),IF(OR(X68="",X68&lt;=0),"Минимальная цена продажи",""),IF(OR(Y68="",Y68&lt;=0),"Стартовая ставка",""),IF(Z68="","Начало аукциона",""),IF(AA68="","Окончание аукциона",""),IF(AND(W68&lt;&gt;"",X68&lt;&gt;"",X68&gt;W68),"Минимальная цена выше «Продать сейчас»",""),IF(AND(W68&lt;&gt;"",X68&lt;&gt;"",X68&lt;=W68,X68&gt;W68*0.9),"Минимальная цена выше 90% от «Продать сейчас»",""),IF(AND(W68&lt;&gt;"",Y68&lt;&gt;"",Y68&gt;W68*0.3),"Стартовая ставка выше 30% от «Продать сейчас»",""),IF(AND(Z68&lt;&gt;"",AA68&lt;&gt;"",AA68&lt;EDATE(Z68,3)+15),"Аукцион короче 3 месяцев и 15 дней",""),IF(AND(AB68="Да",OR(AC68="",AC68&lt;=0)),"Цена тест-драйва за сутки",""),IF(OR(AJ68="",AJ68="Нет"),"Право собственности",""),IF(OR(AK68="",AK68="Нет"),"Справка об отсутствии обременений",""))))</f>
        <v/>
      </c>
      <c r="AN68" s="35">
        <f>IF(NOT(COUNTA(A68:AL68)&gt;0),"",IF(TEXTJOIN(", ",TRUE,IF(AH68="","Описание",""),IF(AND(AE68&lt;&gt;"",AE68&gt;=1,AE68&lt;5),"Фото меньше 5",""),IF(AG68="","Видео",""),IF(H68="","Кадастровый номер",""),IF(AF68="","Ссылка на фото",""))="","",TEXTJOIN(", ",TRUE,IF(AH68="","Описание",""),IF(AND(AE68&lt;&gt;"",AE68&gt;=1,AE68&lt;5),"Фото меньше 5",""),IF(AG68="","Видео",""),IF(H68="","Кадастровый номер",""),IF(AF68="","Ссылка на фото",""))))</f>
        <v/>
      </c>
      <c r="AO68" s="35">
        <f>IF(NOT(COUNTA(A68:AL68)&gt;0),"",IF(AM68="","Можно публиковать","Не хватает"))</f>
        <v/>
      </c>
    </row>
    <row r="69" ht="22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 t="n"/>
      <c r="K69" s="31" t="n"/>
      <c r="L69" s="31" t="n"/>
      <c r="M69" s="32" t="n"/>
      <c r="N69" s="32" t="n"/>
      <c r="O69" s="32" t="n"/>
      <c r="P69" s="32" t="n"/>
      <c r="Q69" s="32" t="n"/>
      <c r="R69" s="32" t="n"/>
      <c r="S69" s="30" t="n"/>
      <c r="T69" s="30" t="n"/>
      <c r="U69" s="30" t="n"/>
      <c r="V69" s="30" t="n"/>
      <c r="W69" s="33" t="n"/>
      <c r="X69" s="33" t="n"/>
      <c r="Y69" s="33" t="n"/>
      <c r="Z69" s="34" t="n"/>
      <c r="AA69" s="34" t="n"/>
      <c r="AB69" s="30" t="n"/>
      <c r="AC69" s="33" t="n"/>
      <c r="AD69" s="33" t="n"/>
      <c r="AE69" s="32" t="n"/>
      <c r="AF69" s="30" t="n"/>
      <c r="AG69" s="30" t="n"/>
      <c r="AH69" s="30" t="n"/>
      <c r="AI69" s="30" t="n"/>
      <c r="AJ69" s="30" t="n"/>
      <c r="AK69" s="30" t="n"/>
      <c r="AL69" s="30" t="n"/>
      <c r="AM69" s="35">
        <f>IF(NOT(COUNTA(A69:AL69)&gt;0),"",IF(TEXTJOIN(", ",TRUE,IF(B69="","Название",""),IF(C69="","Тип недвижимости",""),IF(D69="","Страна",""),IF(E69="","Город",""),IF(F69="","Улица",""),IF(I69="","Валюта",""),IF(OR(AE69="",AE69&lt;1),"Хотя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земли",""),IF(OR(W69="",W69&lt;=0),"Продать сейчас",""),IF(OR(X69="",X69&lt;=0),"Минимальная цена продажи",""),IF(OR(Y69="",Y69&lt;=0),"Стартовая ставка",""),IF(Z69="","Начало аукциона",""),IF(AA69="","Окончание аукциона",""),IF(AND(W69&lt;&gt;"",X69&lt;&gt;"",X69&gt;W69),"Минимальная цена выше «Продать сейчас»",""),IF(AND(W69&lt;&gt;"",X69&lt;&gt;"",X69&lt;=W69,X69&gt;W69*0.9),"Минимальная цена выше 90% от «Продать сейчас»",""),IF(AND(W69&lt;&gt;"",Y69&lt;&gt;"",Y69&gt;W69*0.3),"Стартовая ставка выше 30% от «Продать сейчас»",""),IF(AND(Z69&lt;&gt;"",AA69&lt;&gt;"",AA69&lt;EDATE(Z69,3)+15),"Аукцион короче 3 месяцев и 15 дней",""),IF(AND(AB69="Да",OR(AC69="",AC69&lt;=0)),"Цена тест-драйва за сутки",""),IF(OR(AJ69="",AJ69="Нет"),"Право собственности",""),IF(OR(AK69="",AK69="Нет"),"Справка об отсутствии обременений",""))="","",TEXTJOIN(", ",TRUE,IF(B69="","Название",""),IF(C69="","Тип недвижимости",""),IF(D69="","Страна",""),IF(E69="","Город",""),IF(F69="","Улица",""),IF(I69="","Валюта",""),IF(OR(AE69="",AE69&lt;1),"Хотя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земли",""),IF(OR(W69="",W69&lt;=0),"Продать сейчас",""),IF(OR(X69="",X69&lt;=0),"Минимальная цена продажи",""),IF(OR(Y69="",Y69&lt;=0),"Стартовая ставка",""),IF(Z69="","Начало аукциона",""),IF(AA69="","Окончание аукциона",""),IF(AND(W69&lt;&gt;"",X69&lt;&gt;"",X69&gt;W69),"Минимальная цена выше «Продать сейчас»",""),IF(AND(W69&lt;&gt;"",X69&lt;&gt;"",X69&lt;=W69,X69&gt;W69*0.9),"Минимальная цена выше 90% от «Продать сейчас»",""),IF(AND(W69&lt;&gt;"",Y69&lt;&gt;"",Y69&gt;W69*0.3),"Стартовая ставка выше 30% от «Продать сейчас»",""),IF(AND(Z69&lt;&gt;"",AA69&lt;&gt;"",AA69&lt;EDATE(Z69,3)+15),"Аукцион короче 3 месяцев и 15 дней",""),IF(AND(AB69="Да",OR(AC69="",AC69&lt;=0)),"Цена тест-драйва за сутки",""),IF(OR(AJ69="",AJ69="Нет"),"Право собственности",""),IF(OR(AK69="",AK69="Нет"),"Справка об отсутствии обременений",""))))</f>
        <v/>
      </c>
      <c r="AN69" s="35">
        <f>IF(NOT(COUNTA(A69:AL69)&gt;0),"",IF(TEXTJOIN(", ",TRUE,IF(AH69="","Описание",""),IF(AND(AE69&lt;&gt;"",AE69&gt;=1,AE69&lt;5),"Фото меньше 5",""),IF(AG69="","Видео",""),IF(H69="","Кадастровый номер",""),IF(AF69="","Ссылка на фото",""))="","",TEXTJOIN(", ",TRUE,IF(AH69="","Описание",""),IF(AND(AE69&lt;&gt;"",AE69&gt;=1,AE69&lt;5),"Фото меньше 5",""),IF(AG69="","Видео",""),IF(H69="","Кадастровый номер",""),IF(AF69="","Ссылка на фото",""))))</f>
        <v/>
      </c>
      <c r="AO69" s="35">
        <f>IF(NOT(COUNTA(A69:AL69)&gt;0),"",IF(AM69="","Можно публиковать","Не хватает"))</f>
        <v/>
      </c>
    </row>
    <row r="70" ht="22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7" t="n"/>
      <c r="K70" s="37" t="n"/>
      <c r="L70" s="37" t="n"/>
      <c r="M70" s="38" t="n"/>
      <c r="N70" s="38" t="n"/>
      <c r="O70" s="38" t="n"/>
      <c r="P70" s="38" t="n"/>
      <c r="Q70" s="38" t="n"/>
      <c r="R70" s="38" t="n"/>
      <c r="S70" s="36" t="n"/>
      <c r="T70" s="36" t="n"/>
      <c r="U70" s="36" t="n"/>
      <c r="V70" s="36" t="n"/>
      <c r="W70" s="39" t="n"/>
      <c r="X70" s="39" t="n"/>
      <c r="Y70" s="39" t="n"/>
      <c r="Z70" s="40" t="n"/>
      <c r="AA70" s="40" t="n"/>
      <c r="AB70" s="36" t="n"/>
      <c r="AC70" s="39" t="n"/>
      <c r="AD70" s="39" t="n"/>
      <c r="AE70" s="38" t="n"/>
      <c r="AF70" s="36" t="n"/>
      <c r="AG70" s="36" t="n"/>
      <c r="AH70" s="36" t="n"/>
      <c r="AI70" s="36" t="n"/>
      <c r="AJ70" s="36" t="n"/>
      <c r="AK70" s="36" t="n"/>
      <c r="AL70" s="36" t="n"/>
      <c r="AM70" s="35">
        <f>IF(NOT(COUNTA(A70:AL70)&gt;0),"",IF(TEXTJOIN(", ",TRUE,IF(B70="","Название",""),IF(C70="","Тип недвижимости",""),IF(D70="","Страна",""),IF(E70="","Город",""),IF(F70="","Улица",""),IF(I70="","Валюта",""),IF(OR(AE70="",AE70&lt;1),"Хотя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земли",""),IF(OR(W70="",W70&lt;=0),"Продать сейчас",""),IF(OR(X70="",X70&lt;=0),"Минимальная цена продажи",""),IF(OR(Y70="",Y70&lt;=0),"Стартовая ставка",""),IF(Z70="","Начало аукциона",""),IF(AA70="","Окончание аукциона",""),IF(AND(W70&lt;&gt;"",X70&lt;&gt;"",X70&gt;W70),"Минимальная цена выше «Продать сейчас»",""),IF(AND(W70&lt;&gt;"",X70&lt;&gt;"",X70&lt;=W70,X70&gt;W70*0.9),"Минимальная цена выше 90% от «Продать сейчас»",""),IF(AND(W70&lt;&gt;"",Y70&lt;&gt;"",Y70&gt;W70*0.3),"Стартовая ставка выше 30% от «Продать сейчас»",""),IF(AND(Z70&lt;&gt;"",AA70&lt;&gt;"",AA70&lt;EDATE(Z70,3)+15),"Аукцион короче 3 месяцев и 15 дней",""),IF(AND(AB70="Да",OR(AC70="",AC70&lt;=0)),"Цена тест-драйва за сутки",""),IF(OR(AJ70="",AJ70="Нет"),"Право собственности",""),IF(OR(AK70="",AK70="Нет"),"Справка об отсутствии обременений",""))="","",TEXTJOIN(", ",TRUE,IF(B70="","Название",""),IF(C70="","Тип недвижимости",""),IF(D70="","Страна",""),IF(E70="","Город",""),IF(F70="","Улица",""),IF(I70="","Валюта",""),IF(OR(AE70="",AE70&lt;1),"Хотя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земли",""),IF(OR(W70="",W70&lt;=0),"Продать сейчас",""),IF(OR(X70="",X70&lt;=0),"Минимальная цена продажи",""),IF(OR(Y70="",Y70&lt;=0),"Стартовая ставка",""),IF(Z70="","Начало аукциона",""),IF(AA70="","Окончание аукциона",""),IF(AND(W70&lt;&gt;"",X70&lt;&gt;"",X70&gt;W70),"Минимальная цена выше «Продать сейчас»",""),IF(AND(W70&lt;&gt;"",X70&lt;&gt;"",X70&lt;=W70,X70&gt;W70*0.9),"Минимальная цена выше 90% от «Продать сейчас»",""),IF(AND(W70&lt;&gt;"",Y70&lt;&gt;"",Y70&gt;W70*0.3),"Стартовая ставка выше 30% от «Продать сейчас»",""),IF(AND(Z70&lt;&gt;"",AA70&lt;&gt;"",AA70&lt;EDATE(Z70,3)+15),"Аукцион короче 3 месяцев и 15 дней",""),IF(AND(AB70="Да",OR(AC70="",AC70&lt;=0)),"Цена тест-драйва за сутки",""),IF(OR(AJ70="",AJ70="Нет"),"Право собственности",""),IF(OR(AK70="",AK70="Нет"),"Справка об отсутствии обременений",""))))</f>
        <v/>
      </c>
      <c r="AN70" s="35">
        <f>IF(NOT(COUNTA(A70:AL70)&gt;0),"",IF(TEXTJOIN(", ",TRUE,IF(AH70="","Описание",""),IF(AND(AE70&lt;&gt;"",AE70&gt;=1,AE70&lt;5),"Фото меньше 5",""),IF(AG70="","Видео",""),IF(H70="","Кадастровый номер",""),IF(AF70="","Ссылка на фото",""))="","",TEXTJOIN(", ",TRUE,IF(AH70="","Описание",""),IF(AND(AE70&lt;&gt;"",AE70&gt;=1,AE70&lt;5),"Фото меньше 5",""),IF(AG70="","Видео",""),IF(H70="","Кадастровый номер",""),IF(AF70="","Ссылка на фото",""))))</f>
        <v/>
      </c>
      <c r="AO70" s="35">
        <f>IF(NOT(COUNTA(A70:AL70)&gt;0),"",IF(AM70="","Можно публиковать","Не хватает"))</f>
        <v/>
      </c>
    </row>
    <row r="71" ht="22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 t="n"/>
      <c r="K71" s="31" t="n"/>
      <c r="L71" s="31" t="n"/>
      <c r="M71" s="32" t="n"/>
      <c r="N71" s="32" t="n"/>
      <c r="O71" s="32" t="n"/>
      <c r="P71" s="32" t="n"/>
      <c r="Q71" s="32" t="n"/>
      <c r="R71" s="32" t="n"/>
      <c r="S71" s="30" t="n"/>
      <c r="T71" s="30" t="n"/>
      <c r="U71" s="30" t="n"/>
      <c r="V71" s="30" t="n"/>
      <c r="W71" s="33" t="n"/>
      <c r="X71" s="33" t="n"/>
      <c r="Y71" s="33" t="n"/>
      <c r="Z71" s="34" t="n"/>
      <c r="AA71" s="34" t="n"/>
      <c r="AB71" s="30" t="n"/>
      <c r="AC71" s="33" t="n"/>
      <c r="AD71" s="33" t="n"/>
      <c r="AE71" s="32" t="n"/>
      <c r="AF71" s="30" t="n"/>
      <c r="AG71" s="30" t="n"/>
      <c r="AH71" s="30" t="n"/>
      <c r="AI71" s="30" t="n"/>
      <c r="AJ71" s="30" t="n"/>
      <c r="AK71" s="30" t="n"/>
      <c r="AL71" s="30" t="n"/>
      <c r="AM71" s="35">
        <f>IF(NOT(COUNTA(A71:AL71)&gt;0),"",IF(TEXTJOIN(", ",TRUE,IF(B71="","Название",""),IF(C71="","Тип недвижимости",""),IF(D71="","Страна",""),IF(E71="","Город",""),IF(F71="","Улица",""),IF(I71="","Валюта",""),IF(OR(AE71="",AE71&lt;1),"Хотя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земли",""),IF(OR(W71="",W71&lt;=0),"Продать сейчас",""),IF(OR(X71="",X71&lt;=0),"Минимальная цена продажи",""),IF(OR(Y71="",Y71&lt;=0),"Стартовая ставка",""),IF(Z71="","Начало аукциона",""),IF(AA71="","Окончание аукциона",""),IF(AND(W71&lt;&gt;"",X71&lt;&gt;"",X71&gt;W71),"Минимальная цена выше «Продать сейчас»",""),IF(AND(W71&lt;&gt;"",X71&lt;&gt;"",X71&lt;=W71,X71&gt;W71*0.9),"Минимальная цена выше 90% от «Продать сейчас»",""),IF(AND(W71&lt;&gt;"",Y71&lt;&gt;"",Y71&gt;W71*0.3),"Стартовая ставка выше 30% от «Продать сейчас»",""),IF(AND(Z71&lt;&gt;"",AA71&lt;&gt;"",AA71&lt;EDATE(Z71,3)+15),"Аукцион короче 3 месяцев и 15 дней",""),IF(AND(AB71="Да",OR(AC71="",AC71&lt;=0)),"Цена тест-драйва за сутки",""),IF(OR(AJ71="",AJ71="Нет"),"Право собственности",""),IF(OR(AK71="",AK71="Нет"),"Справка об отсутствии обременений",""))="","",TEXTJOIN(", ",TRUE,IF(B71="","Название",""),IF(C71="","Тип недвижимости",""),IF(D71="","Страна",""),IF(E71="","Город",""),IF(F71="","Улица",""),IF(I71="","Валюта",""),IF(OR(AE71="",AE71&lt;1),"Хотя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земли",""),IF(OR(W71="",W71&lt;=0),"Продать сейчас",""),IF(OR(X71="",X71&lt;=0),"Минимальная цена продажи",""),IF(OR(Y71="",Y71&lt;=0),"Стартовая ставка",""),IF(Z71="","Начало аукциона",""),IF(AA71="","Окончание аукциона",""),IF(AND(W71&lt;&gt;"",X71&lt;&gt;"",X71&gt;W71),"Минимальная цена выше «Продать сейчас»",""),IF(AND(W71&lt;&gt;"",X71&lt;&gt;"",X71&lt;=W71,X71&gt;W71*0.9),"Минимальная цена выше 90% от «Продать сейчас»",""),IF(AND(W71&lt;&gt;"",Y71&lt;&gt;"",Y71&gt;W71*0.3),"Стартовая ставка выше 30% от «Продать сейчас»",""),IF(AND(Z71&lt;&gt;"",AA71&lt;&gt;"",AA71&lt;EDATE(Z71,3)+15),"Аукцион короче 3 месяцев и 15 дней",""),IF(AND(AB71="Да",OR(AC71="",AC71&lt;=0)),"Цена тест-драйва за сутки",""),IF(OR(AJ71="",AJ71="Нет"),"Право собственности",""),IF(OR(AK71="",AK71="Нет"),"Справка об отсутствии обременений",""))))</f>
        <v/>
      </c>
      <c r="AN71" s="35">
        <f>IF(NOT(COUNTA(A71:AL71)&gt;0),"",IF(TEXTJOIN(", ",TRUE,IF(AH71="","Описание",""),IF(AND(AE71&lt;&gt;"",AE71&gt;=1,AE71&lt;5),"Фото меньше 5",""),IF(AG71="","Видео",""),IF(H71="","Кадастровый номер",""),IF(AF71="","Ссылка на фото",""))="","",TEXTJOIN(", ",TRUE,IF(AH71="","Описание",""),IF(AND(AE71&lt;&gt;"",AE71&gt;=1,AE71&lt;5),"Фото меньше 5",""),IF(AG71="","Видео",""),IF(H71="","Кадастровый номер",""),IF(AF71="","Ссылка на фото",""))))</f>
        <v/>
      </c>
      <c r="AO71" s="35">
        <f>IF(NOT(COUNTA(A71:AL71)&gt;0),"",IF(AM71="","Можно публиковать","Не хватает"))</f>
        <v/>
      </c>
    </row>
    <row r="72" ht="22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7" t="n"/>
      <c r="K72" s="37" t="n"/>
      <c r="L72" s="37" t="n"/>
      <c r="M72" s="38" t="n"/>
      <c r="N72" s="38" t="n"/>
      <c r="O72" s="38" t="n"/>
      <c r="P72" s="38" t="n"/>
      <c r="Q72" s="38" t="n"/>
      <c r="R72" s="38" t="n"/>
      <c r="S72" s="36" t="n"/>
      <c r="T72" s="36" t="n"/>
      <c r="U72" s="36" t="n"/>
      <c r="V72" s="36" t="n"/>
      <c r="W72" s="39" t="n"/>
      <c r="X72" s="39" t="n"/>
      <c r="Y72" s="39" t="n"/>
      <c r="Z72" s="40" t="n"/>
      <c r="AA72" s="40" t="n"/>
      <c r="AB72" s="36" t="n"/>
      <c r="AC72" s="39" t="n"/>
      <c r="AD72" s="39" t="n"/>
      <c r="AE72" s="38" t="n"/>
      <c r="AF72" s="36" t="n"/>
      <c r="AG72" s="36" t="n"/>
      <c r="AH72" s="36" t="n"/>
      <c r="AI72" s="36" t="n"/>
      <c r="AJ72" s="36" t="n"/>
      <c r="AK72" s="36" t="n"/>
      <c r="AL72" s="36" t="n"/>
      <c r="AM72" s="35">
        <f>IF(NOT(COUNTA(A72:AL72)&gt;0),"",IF(TEXTJOIN(", ",TRUE,IF(B72="","Название",""),IF(C72="","Тип недвижимости",""),IF(D72="","Страна",""),IF(E72="","Город",""),IF(F72="","Улица",""),IF(I72="","Валюта",""),IF(OR(AE72="",AE72&lt;1),"Хотя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земли",""),IF(OR(W72="",W72&lt;=0),"Продать сейчас",""),IF(OR(X72="",X72&lt;=0),"Минимальная цена продажи",""),IF(OR(Y72="",Y72&lt;=0),"Стартовая ставка",""),IF(Z72="","Начало аукциона",""),IF(AA72="","Окончание аукциона",""),IF(AND(W72&lt;&gt;"",X72&lt;&gt;"",X72&gt;W72),"Минимальная цена выше «Продать сейчас»",""),IF(AND(W72&lt;&gt;"",X72&lt;&gt;"",X72&lt;=W72,X72&gt;W72*0.9),"Минимальная цена выше 90% от «Продать сейчас»",""),IF(AND(W72&lt;&gt;"",Y72&lt;&gt;"",Y72&gt;W72*0.3),"Стартовая ставка выше 30% от «Продать сейчас»",""),IF(AND(Z72&lt;&gt;"",AA72&lt;&gt;"",AA72&lt;EDATE(Z72,3)+15),"Аукцион короче 3 месяцев и 15 дней",""),IF(AND(AB72="Да",OR(AC72="",AC72&lt;=0)),"Цена тест-драйва за сутки",""),IF(OR(AJ72="",AJ72="Нет"),"Право собственности",""),IF(OR(AK72="",AK72="Нет"),"Справка об отсутствии обременений",""))="","",TEXTJOIN(", ",TRUE,IF(B72="","Название",""),IF(C72="","Тип недвижимости",""),IF(D72="","Страна",""),IF(E72="","Город",""),IF(F72="","Улица",""),IF(I72="","Валюта",""),IF(OR(AE72="",AE72&lt;1),"Хотя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земли",""),IF(OR(W72="",W72&lt;=0),"Продать сейчас",""),IF(OR(X72="",X72&lt;=0),"Минимальная цена продажи",""),IF(OR(Y72="",Y72&lt;=0),"Стартовая ставка",""),IF(Z72="","Начало аукциона",""),IF(AA72="","Окончание аукциона",""),IF(AND(W72&lt;&gt;"",X72&lt;&gt;"",X72&gt;W72),"Минимальная цена выше «Продать сейчас»",""),IF(AND(W72&lt;&gt;"",X72&lt;&gt;"",X72&lt;=W72,X72&gt;W72*0.9),"Минимальная цена выше 90% от «Продать сейчас»",""),IF(AND(W72&lt;&gt;"",Y72&lt;&gt;"",Y72&gt;W72*0.3),"Стартовая ставка выше 30% от «Продать сейчас»",""),IF(AND(Z72&lt;&gt;"",AA72&lt;&gt;"",AA72&lt;EDATE(Z72,3)+15),"Аукцион короче 3 месяцев и 15 дней",""),IF(AND(AB72="Да",OR(AC72="",AC72&lt;=0)),"Цена тест-драйва за сутки",""),IF(OR(AJ72="",AJ72="Нет"),"Право собственности",""),IF(OR(AK72="",AK72="Нет"),"Справка об отсутствии обременений",""))))</f>
        <v/>
      </c>
      <c r="AN72" s="35">
        <f>IF(NOT(COUNTA(A72:AL72)&gt;0),"",IF(TEXTJOIN(", ",TRUE,IF(AH72="","Описание",""),IF(AND(AE72&lt;&gt;"",AE72&gt;=1,AE72&lt;5),"Фото меньше 5",""),IF(AG72="","Видео",""),IF(H72="","Кадастровый номер",""),IF(AF72="","Ссылка на фото",""))="","",TEXTJOIN(", ",TRUE,IF(AH72="","Описание",""),IF(AND(AE72&lt;&gt;"",AE72&gt;=1,AE72&lt;5),"Фото меньше 5",""),IF(AG72="","Видео",""),IF(H72="","Кадастровый номер",""),IF(AF72="","Ссылка на фото",""))))</f>
        <v/>
      </c>
      <c r="AO72" s="35">
        <f>IF(NOT(COUNTA(A72:AL72)&gt;0),"",IF(AM72="","Можно публиковать","Не хватает"))</f>
        <v/>
      </c>
    </row>
    <row r="73" ht="22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 t="n"/>
      <c r="K73" s="31" t="n"/>
      <c r="L73" s="31" t="n"/>
      <c r="M73" s="32" t="n"/>
      <c r="N73" s="32" t="n"/>
      <c r="O73" s="32" t="n"/>
      <c r="P73" s="32" t="n"/>
      <c r="Q73" s="32" t="n"/>
      <c r="R73" s="32" t="n"/>
      <c r="S73" s="30" t="n"/>
      <c r="T73" s="30" t="n"/>
      <c r="U73" s="30" t="n"/>
      <c r="V73" s="30" t="n"/>
      <c r="W73" s="33" t="n"/>
      <c r="X73" s="33" t="n"/>
      <c r="Y73" s="33" t="n"/>
      <c r="Z73" s="34" t="n"/>
      <c r="AA73" s="34" t="n"/>
      <c r="AB73" s="30" t="n"/>
      <c r="AC73" s="33" t="n"/>
      <c r="AD73" s="33" t="n"/>
      <c r="AE73" s="32" t="n"/>
      <c r="AF73" s="30" t="n"/>
      <c r="AG73" s="30" t="n"/>
      <c r="AH73" s="30" t="n"/>
      <c r="AI73" s="30" t="n"/>
      <c r="AJ73" s="30" t="n"/>
      <c r="AK73" s="30" t="n"/>
      <c r="AL73" s="30" t="n"/>
      <c r="AM73" s="35">
        <f>IF(NOT(COUNTA(A73:AL73)&gt;0),"",IF(TEXTJOIN(", ",TRUE,IF(B73="","Название",""),IF(C73="","Тип недвижимости",""),IF(D73="","Страна",""),IF(E73="","Город",""),IF(F73="","Улица",""),IF(I73="","Валюта",""),IF(OR(AE73="",AE73&lt;1),"Хотя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земли",""),IF(OR(W73="",W73&lt;=0),"Продать сейчас",""),IF(OR(X73="",X73&lt;=0),"Минимальная цена продажи",""),IF(OR(Y73="",Y73&lt;=0),"Стартовая ставка",""),IF(Z73="","Начало аукциона",""),IF(AA73="","Окончание аукциона",""),IF(AND(W73&lt;&gt;"",X73&lt;&gt;"",X73&gt;W73),"Минимальная цена выше «Продать сейчас»",""),IF(AND(W73&lt;&gt;"",X73&lt;&gt;"",X73&lt;=W73,X73&gt;W73*0.9),"Минимальная цена выше 90% от «Продать сейчас»",""),IF(AND(W73&lt;&gt;"",Y73&lt;&gt;"",Y73&gt;W73*0.3),"Стартовая ставка выше 30% от «Продать сейчас»",""),IF(AND(Z73&lt;&gt;"",AA73&lt;&gt;"",AA73&lt;EDATE(Z73,3)+15),"Аукцион короче 3 месяцев и 15 дней",""),IF(AND(AB73="Да",OR(AC73="",AC73&lt;=0)),"Цена тест-драйва за сутки",""),IF(OR(AJ73="",AJ73="Нет"),"Право собственности",""),IF(OR(AK73="",AK73="Нет"),"Справка об отсутствии обременений",""))="","",TEXTJOIN(", ",TRUE,IF(B73="","Название",""),IF(C73="","Тип недвижимости",""),IF(D73="","Страна",""),IF(E73="","Город",""),IF(F73="","Улица",""),IF(I73="","Валюта",""),IF(OR(AE73="",AE73&lt;1),"Хотя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земли",""),IF(OR(W73="",W73&lt;=0),"Продать сейчас",""),IF(OR(X73="",X73&lt;=0),"Минимальная цена продажи",""),IF(OR(Y73="",Y73&lt;=0),"Стартовая ставка",""),IF(Z73="","Начало аукциона",""),IF(AA73="","Окончание аукциона",""),IF(AND(W73&lt;&gt;"",X73&lt;&gt;"",X73&gt;W73),"Минимальная цена выше «Продать сейчас»",""),IF(AND(W73&lt;&gt;"",X73&lt;&gt;"",X73&lt;=W73,X73&gt;W73*0.9),"Минимальная цена выше 90% от «Продать сейчас»",""),IF(AND(W73&lt;&gt;"",Y73&lt;&gt;"",Y73&gt;W73*0.3),"Стартовая ставка выше 30% от «Продать сейчас»",""),IF(AND(Z73&lt;&gt;"",AA73&lt;&gt;"",AA73&lt;EDATE(Z73,3)+15),"Аукцион короче 3 месяцев и 15 дней",""),IF(AND(AB73="Да",OR(AC73="",AC73&lt;=0)),"Цена тест-драйва за сутки",""),IF(OR(AJ73="",AJ73="Нет"),"Право собственности",""),IF(OR(AK73="",AK73="Нет"),"Справка об отсутствии обременений",""))))</f>
        <v/>
      </c>
      <c r="AN73" s="35">
        <f>IF(NOT(COUNTA(A73:AL73)&gt;0),"",IF(TEXTJOIN(", ",TRUE,IF(AH73="","Описание",""),IF(AND(AE73&lt;&gt;"",AE73&gt;=1,AE73&lt;5),"Фото меньше 5",""),IF(AG73="","Видео",""),IF(H73="","Кадастровый номер",""),IF(AF73="","Ссылка на фото",""))="","",TEXTJOIN(", ",TRUE,IF(AH73="","Описание",""),IF(AND(AE73&lt;&gt;"",AE73&gt;=1,AE73&lt;5),"Фото меньше 5",""),IF(AG73="","Видео",""),IF(H73="","Кадастровый номер",""),IF(AF73="","Ссылка на фото",""))))</f>
        <v/>
      </c>
      <c r="AO73" s="35">
        <f>IF(NOT(COUNTA(A73:AL73)&gt;0),"",IF(AM73="","Можно публиковать","Не хватает"))</f>
        <v/>
      </c>
    </row>
    <row r="74" ht="22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7" t="n"/>
      <c r="K74" s="37" t="n"/>
      <c r="L74" s="37" t="n"/>
      <c r="M74" s="38" t="n"/>
      <c r="N74" s="38" t="n"/>
      <c r="O74" s="38" t="n"/>
      <c r="P74" s="38" t="n"/>
      <c r="Q74" s="38" t="n"/>
      <c r="R74" s="38" t="n"/>
      <c r="S74" s="36" t="n"/>
      <c r="T74" s="36" t="n"/>
      <c r="U74" s="36" t="n"/>
      <c r="V74" s="36" t="n"/>
      <c r="W74" s="39" t="n"/>
      <c r="X74" s="39" t="n"/>
      <c r="Y74" s="39" t="n"/>
      <c r="Z74" s="40" t="n"/>
      <c r="AA74" s="40" t="n"/>
      <c r="AB74" s="36" t="n"/>
      <c r="AC74" s="39" t="n"/>
      <c r="AD74" s="39" t="n"/>
      <c r="AE74" s="38" t="n"/>
      <c r="AF74" s="36" t="n"/>
      <c r="AG74" s="36" t="n"/>
      <c r="AH74" s="36" t="n"/>
      <c r="AI74" s="36" t="n"/>
      <c r="AJ74" s="36" t="n"/>
      <c r="AK74" s="36" t="n"/>
      <c r="AL74" s="36" t="n"/>
      <c r="AM74" s="35">
        <f>IF(NOT(COUNTA(A74:AL74)&gt;0),"",IF(TEXTJOIN(", ",TRUE,IF(B74="","Название",""),IF(C74="","Тип недвижимости",""),IF(D74="","Страна",""),IF(E74="","Город",""),IF(F74="","Улица",""),IF(I74="","Валюта",""),IF(OR(AE74="",AE74&lt;1),"Хотя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земли",""),IF(OR(W74="",W74&lt;=0),"Продать сейчас",""),IF(OR(X74="",X74&lt;=0),"Минимальная цена продажи",""),IF(OR(Y74="",Y74&lt;=0),"Стартовая ставка",""),IF(Z74="","Начало аукциона",""),IF(AA74="","Окончание аукциона",""),IF(AND(W74&lt;&gt;"",X74&lt;&gt;"",X74&gt;W74),"Минимальная цена выше «Продать сейчас»",""),IF(AND(W74&lt;&gt;"",X74&lt;&gt;"",X74&lt;=W74,X74&gt;W74*0.9),"Минимальная цена выше 90% от «Продать сейчас»",""),IF(AND(W74&lt;&gt;"",Y74&lt;&gt;"",Y74&gt;W74*0.3),"Стартовая ставка выше 30% от «Продать сейчас»",""),IF(AND(Z74&lt;&gt;"",AA74&lt;&gt;"",AA74&lt;EDATE(Z74,3)+15),"Аукцион короче 3 месяцев и 15 дней",""),IF(AND(AB74="Да",OR(AC74="",AC74&lt;=0)),"Цена тест-драйва за сутки",""),IF(OR(AJ74="",AJ74="Нет"),"Право собственности",""),IF(OR(AK74="",AK74="Нет"),"Справка об отсутствии обременений",""))="","",TEXTJOIN(", ",TRUE,IF(B74="","Название",""),IF(C74="","Тип недвижимости",""),IF(D74="","Страна",""),IF(E74="","Город",""),IF(F74="","Улица",""),IF(I74="","Валюта",""),IF(OR(AE74="",AE74&lt;1),"Хотя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земли",""),IF(OR(W74="",W74&lt;=0),"Продать сейчас",""),IF(OR(X74="",X74&lt;=0),"Минимальная цена продажи",""),IF(OR(Y74="",Y74&lt;=0),"Стартовая ставка",""),IF(Z74="","Начало аукциона",""),IF(AA74="","Окончание аукциона",""),IF(AND(W74&lt;&gt;"",X74&lt;&gt;"",X74&gt;W74),"Минимальная цена выше «Продать сейчас»",""),IF(AND(W74&lt;&gt;"",X74&lt;&gt;"",X74&lt;=W74,X74&gt;W74*0.9),"Минимальная цена выше 90% от «Продать сейчас»",""),IF(AND(W74&lt;&gt;"",Y74&lt;&gt;"",Y74&gt;W74*0.3),"Стартовая ставка выше 30% от «Продать сейчас»",""),IF(AND(Z74&lt;&gt;"",AA74&lt;&gt;"",AA74&lt;EDATE(Z74,3)+15),"Аукцион короче 3 месяцев и 15 дней",""),IF(AND(AB74="Да",OR(AC74="",AC74&lt;=0)),"Цена тест-драйва за сутки",""),IF(OR(AJ74="",AJ74="Нет"),"Право собственности",""),IF(OR(AK74="",AK74="Нет"),"Справка об отсутствии обременений",""))))</f>
        <v/>
      </c>
      <c r="AN74" s="35">
        <f>IF(NOT(COUNTA(A74:AL74)&gt;0),"",IF(TEXTJOIN(", ",TRUE,IF(AH74="","Описание",""),IF(AND(AE74&lt;&gt;"",AE74&gt;=1,AE74&lt;5),"Фото меньше 5",""),IF(AG74="","Видео",""),IF(H74="","Кадастровый номер",""),IF(AF74="","Ссылка на фото",""))="","",TEXTJOIN(", ",TRUE,IF(AH74="","Описание",""),IF(AND(AE74&lt;&gt;"",AE74&gt;=1,AE74&lt;5),"Фото меньше 5",""),IF(AG74="","Видео",""),IF(H74="","Кадастровый номер",""),IF(AF74="","Ссылка на фото",""))))</f>
        <v/>
      </c>
      <c r="AO74" s="35">
        <f>IF(NOT(COUNTA(A74:AL74)&gt;0),"",IF(AM74="","Можно публиковать","Не хватает"))</f>
        <v/>
      </c>
    </row>
    <row r="75" ht="22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 t="n"/>
      <c r="K75" s="31" t="n"/>
      <c r="L75" s="31" t="n"/>
      <c r="M75" s="32" t="n"/>
      <c r="N75" s="32" t="n"/>
      <c r="O75" s="32" t="n"/>
      <c r="P75" s="32" t="n"/>
      <c r="Q75" s="32" t="n"/>
      <c r="R75" s="32" t="n"/>
      <c r="S75" s="30" t="n"/>
      <c r="T75" s="30" t="n"/>
      <c r="U75" s="30" t="n"/>
      <c r="V75" s="30" t="n"/>
      <c r="W75" s="33" t="n"/>
      <c r="X75" s="33" t="n"/>
      <c r="Y75" s="33" t="n"/>
      <c r="Z75" s="34" t="n"/>
      <c r="AA75" s="34" t="n"/>
      <c r="AB75" s="30" t="n"/>
      <c r="AC75" s="33" t="n"/>
      <c r="AD75" s="33" t="n"/>
      <c r="AE75" s="32" t="n"/>
      <c r="AF75" s="30" t="n"/>
      <c r="AG75" s="30" t="n"/>
      <c r="AH75" s="30" t="n"/>
      <c r="AI75" s="30" t="n"/>
      <c r="AJ75" s="30" t="n"/>
      <c r="AK75" s="30" t="n"/>
      <c r="AL75" s="30" t="n"/>
      <c r="AM75" s="35">
        <f>IF(NOT(COUNTA(A75:AL75)&gt;0),"",IF(TEXTJOIN(", ",TRUE,IF(B75="","Название",""),IF(C75="","Тип недвижимости",""),IF(D75="","Страна",""),IF(E75="","Город",""),IF(F75="","Улица",""),IF(I75="","Валюта",""),IF(OR(AE75="",AE75&lt;1),"Хотя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земли",""),IF(OR(W75="",W75&lt;=0),"Продать сейчас",""),IF(OR(X75="",X75&lt;=0),"Минимальная цена продажи",""),IF(OR(Y75="",Y75&lt;=0),"Стартовая ставка",""),IF(Z75="","Начало аукциона",""),IF(AA75="","Окончание аукциона",""),IF(AND(W75&lt;&gt;"",X75&lt;&gt;"",X75&gt;W75),"Минимальная цена выше «Продать сейчас»",""),IF(AND(W75&lt;&gt;"",X75&lt;&gt;"",X75&lt;=W75,X75&gt;W75*0.9),"Минимальная цена выше 90% от «Продать сейчас»",""),IF(AND(W75&lt;&gt;"",Y75&lt;&gt;"",Y75&gt;W75*0.3),"Стартовая ставка выше 30% от «Продать сейчас»",""),IF(AND(Z75&lt;&gt;"",AA75&lt;&gt;"",AA75&lt;EDATE(Z75,3)+15),"Аукцион короче 3 месяцев и 15 дней",""),IF(AND(AB75="Да",OR(AC75="",AC75&lt;=0)),"Цена тест-драйва за сутки",""),IF(OR(AJ75="",AJ75="Нет"),"Право собственности",""),IF(OR(AK75="",AK75="Нет"),"Справка об отсутствии обременений",""))="","",TEXTJOIN(", ",TRUE,IF(B75="","Название",""),IF(C75="","Тип недвижимости",""),IF(D75="","Страна",""),IF(E75="","Город",""),IF(F75="","Улица",""),IF(I75="","Валюта",""),IF(OR(AE75="",AE75&lt;1),"Хотя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земли",""),IF(OR(W75="",W75&lt;=0),"Продать сейчас",""),IF(OR(X75="",X75&lt;=0),"Минимальная цена продажи",""),IF(OR(Y75="",Y75&lt;=0),"Стартовая ставка",""),IF(Z75="","Начало аукциона",""),IF(AA75="","Окончание аукциона",""),IF(AND(W75&lt;&gt;"",X75&lt;&gt;"",X75&gt;W75),"Минимальная цена выше «Продать сейчас»",""),IF(AND(W75&lt;&gt;"",X75&lt;&gt;"",X75&lt;=W75,X75&gt;W75*0.9),"Минимальная цена выше 90% от «Продать сейчас»",""),IF(AND(W75&lt;&gt;"",Y75&lt;&gt;"",Y75&gt;W75*0.3),"Стартовая ставка выше 30% от «Продать сейчас»",""),IF(AND(Z75&lt;&gt;"",AA75&lt;&gt;"",AA75&lt;EDATE(Z75,3)+15),"Аукцион короче 3 месяцев и 15 дней",""),IF(AND(AB75="Да",OR(AC75="",AC75&lt;=0)),"Цена тест-драйва за сутки",""),IF(OR(AJ75="",AJ75="Нет"),"Право собственности",""),IF(OR(AK75="",AK75="Нет"),"Справка об отсутствии обременений",""))))</f>
        <v/>
      </c>
      <c r="AN75" s="35">
        <f>IF(NOT(COUNTA(A75:AL75)&gt;0),"",IF(TEXTJOIN(", ",TRUE,IF(AH75="","Описание",""),IF(AND(AE75&lt;&gt;"",AE75&gt;=1,AE75&lt;5),"Фото меньше 5",""),IF(AG75="","Видео",""),IF(H75="","Кадастровый номер",""),IF(AF75="","Ссылка на фото",""))="","",TEXTJOIN(", ",TRUE,IF(AH75="","Описание",""),IF(AND(AE75&lt;&gt;"",AE75&gt;=1,AE75&lt;5),"Фото меньше 5",""),IF(AG75="","Видео",""),IF(H75="","Кадастровый номер",""),IF(AF75="","Ссылка на фото",""))))</f>
        <v/>
      </c>
      <c r="AO75" s="35">
        <f>IF(NOT(COUNTA(A75:AL75)&gt;0),"",IF(AM75="","Можно публиковать","Не хватает"))</f>
        <v/>
      </c>
    </row>
    <row r="76" ht="22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7" t="n"/>
      <c r="K76" s="37" t="n"/>
      <c r="L76" s="37" t="n"/>
      <c r="M76" s="38" t="n"/>
      <c r="N76" s="38" t="n"/>
      <c r="O76" s="38" t="n"/>
      <c r="P76" s="38" t="n"/>
      <c r="Q76" s="38" t="n"/>
      <c r="R76" s="38" t="n"/>
      <c r="S76" s="36" t="n"/>
      <c r="T76" s="36" t="n"/>
      <c r="U76" s="36" t="n"/>
      <c r="V76" s="36" t="n"/>
      <c r="W76" s="39" t="n"/>
      <c r="X76" s="39" t="n"/>
      <c r="Y76" s="39" t="n"/>
      <c r="Z76" s="40" t="n"/>
      <c r="AA76" s="40" t="n"/>
      <c r="AB76" s="36" t="n"/>
      <c r="AC76" s="39" t="n"/>
      <c r="AD76" s="39" t="n"/>
      <c r="AE76" s="38" t="n"/>
      <c r="AF76" s="36" t="n"/>
      <c r="AG76" s="36" t="n"/>
      <c r="AH76" s="36" t="n"/>
      <c r="AI76" s="36" t="n"/>
      <c r="AJ76" s="36" t="n"/>
      <c r="AK76" s="36" t="n"/>
      <c r="AL76" s="36" t="n"/>
      <c r="AM76" s="35">
        <f>IF(NOT(COUNTA(A76:AL76)&gt;0),"",IF(TEXTJOIN(", ",TRUE,IF(B76="","Название",""),IF(C76="","Тип недвижимости",""),IF(D76="","Страна",""),IF(E76="","Город",""),IF(F76="","Улица",""),IF(I76="","Валюта",""),IF(OR(AE76="",AE76&lt;1),"Хотя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земли",""),IF(OR(W76="",W76&lt;=0),"Продать сейчас",""),IF(OR(X76="",X76&lt;=0),"Минимальная цена продажи",""),IF(OR(Y76="",Y76&lt;=0),"Стартовая ставка",""),IF(Z76="","Начало аукциона",""),IF(AA76="","Окончание аукциона",""),IF(AND(W76&lt;&gt;"",X76&lt;&gt;"",X76&gt;W76),"Минимальная цена выше «Продать сейчас»",""),IF(AND(W76&lt;&gt;"",X76&lt;&gt;"",X76&lt;=W76,X76&gt;W76*0.9),"Минимальная цена выше 90% от «Продать сейчас»",""),IF(AND(W76&lt;&gt;"",Y76&lt;&gt;"",Y76&gt;W76*0.3),"Стартовая ставка выше 30% от «Продать сейчас»",""),IF(AND(Z76&lt;&gt;"",AA76&lt;&gt;"",AA76&lt;EDATE(Z76,3)+15),"Аукцион короче 3 месяцев и 15 дней",""),IF(AND(AB76="Да",OR(AC76="",AC76&lt;=0)),"Цена тест-драйва за сутки",""),IF(OR(AJ76="",AJ76="Нет"),"Право собственности",""),IF(OR(AK76="",AK76="Нет"),"Справка об отсутствии обременений",""))="","",TEXTJOIN(", ",TRUE,IF(B76="","Название",""),IF(C76="","Тип недвижимости",""),IF(D76="","Страна",""),IF(E76="","Город",""),IF(F76="","Улица",""),IF(I76="","Валюта",""),IF(OR(AE76="",AE76&lt;1),"Хотя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земли",""),IF(OR(W76="",W76&lt;=0),"Продать сейчас",""),IF(OR(X76="",X76&lt;=0),"Минимальная цена продажи",""),IF(OR(Y76="",Y76&lt;=0),"Стартовая ставка",""),IF(Z76="","Начало аукциона",""),IF(AA76="","Окончание аукциона",""),IF(AND(W76&lt;&gt;"",X76&lt;&gt;"",X76&gt;W76),"Минимальная цена выше «Продать сейчас»",""),IF(AND(W76&lt;&gt;"",X76&lt;&gt;"",X76&lt;=W76,X76&gt;W76*0.9),"Минимальная цена выше 90% от «Продать сейчас»",""),IF(AND(W76&lt;&gt;"",Y76&lt;&gt;"",Y76&gt;W76*0.3),"Стартовая ставка выше 30% от «Продать сейчас»",""),IF(AND(Z76&lt;&gt;"",AA76&lt;&gt;"",AA76&lt;EDATE(Z76,3)+15),"Аукцион короче 3 месяцев и 15 дней",""),IF(AND(AB76="Да",OR(AC76="",AC76&lt;=0)),"Цена тест-драйва за сутки",""),IF(OR(AJ76="",AJ76="Нет"),"Право собственности",""),IF(OR(AK76="",AK76="Нет"),"Справка об отсутствии обременений",""))))</f>
        <v/>
      </c>
      <c r="AN76" s="35">
        <f>IF(NOT(COUNTA(A76:AL76)&gt;0),"",IF(TEXTJOIN(", ",TRUE,IF(AH76="","Описание",""),IF(AND(AE76&lt;&gt;"",AE76&gt;=1,AE76&lt;5),"Фото меньше 5",""),IF(AG76="","Видео",""),IF(H76="","Кадастровый номер",""),IF(AF76="","Ссылка на фото",""))="","",TEXTJOIN(", ",TRUE,IF(AH76="","Описание",""),IF(AND(AE76&lt;&gt;"",AE76&gt;=1,AE76&lt;5),"Фото меньше 5",""),IF(AG76="","Видео",""),IF(H76="","Кадастровый номер",""),IF(AF76="","Ссылка на фото",""))))</f>
        <v/>
      </c>
      <c r="AO76" s="35">
        <f>IF(NOT(COUNTA(A76:AL76)&gt;0),"",IF(AM76="","Можно публиковать","Не хватает"))</f>
        <v/>
      </c>
    </row>
    <row r="77" ht="22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 t="n"/>
      <c r="K77" s="31" t="n"/>
      <c r="L77" s="31" t="n"/>
      <c r="M77" s="32" t="n"/>
      <c r="N77" s="32" t="n"/>
      <c r="O77" s="32" t="n"/>
      <c r="P77" s="32" t="n"/>
      <c r="Q77" s="32" t="n"/>
      <c r="R77" s="32" t="n"/>
      <c r="S77" s="30" t="n"/>
      <c r="T77" s="30" t="n"/>
      <c r="U77" s="30" t="n"/>
      <c r="V77" s="30" t="n"/>
      <c r="W77" s="33" t="n"/>
      <c r="X77" s="33" t="n"/>
      <c r="Y77" s="33" t="n"/>
      <c r="Z77" s="34" t="n"/>
      <c r="AA77" s="34" t="n"/>
      <c r="AB77" s="30" t="n"/>
      <c r="AC77" s="33" t="n"/>
      <c r="AD77" s="33" t="n"/>
      <c r="AE77" s="32" t="n"/>
      <c r="AF77" s="30" t="n"/>
      <c r="AG77" s="30" t="n"/>
      <c r="AH77" s="30" t="n"/>
      <c r="AI77" s="30" t="n"/>
      <c r="AJ77" s="30" t="n"/>
      <c r="AK77" s="30" t="n"/>
      <c r="AL77" s="30" t="n"/>
      <c r="AM77" s="35">
        <f>IF(NOT(COUNTA(A77:AL77)&gt;0),"",IF(TEXTJOIN(", ",TRUE,IF(B77="","Название",""),IF(C77="","Тип недвижимости",""),IF(D77="","Страна",""),IF(E77="","Город",""),IF(F77="","Улица",""),IF(I77="","Валюта",""),IF(OR(AE77="",AE77&lt;1),"Хотя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земли",""),IF(OR(W77="",W77&lt;=0),"Продать сейчас",""),IF(OR(X77="",X77&lt;=0),"Минимальная цена продажи",""),IF(OR(Y77="",Y77&lt;=0),"Стартовая ставка",""),IF(Z77="","Начало аукциона",""),IF(AA77="","Окончание аукциона",""),IF(AND(W77&lt;&gt;"",X77&lt;&gt;"",X77&gt;W77),"Минимальная цена выше «Продать сейчас»",""),IF(AND(W77&lt;&gt;"",X77&lt;&gt;"",X77&lt;=W77,X77&gt;W77*0.9),"Минимальная цена выше 90% от «Продать сейчас»",""),IF(AND(W77&lt;&gt;"",Y77&lt;&gt;"",Y77&gt;W77*0.3),"Стартовая ставка выше 30% от «Продать сейчас»",""),IF(AND(Z77&lt;&gt;"",AA77&lt;&gt;"",AA77&lt;EDATE(Z77,3)+15),"Аукцион короче 3 месяцев и 15 дней",""),IF(AND(AB77="Да",OR(AC77="",AC77&lt;=0)),"Цена тест-драйва за сутки",""),IF(OR(AJ77="",AJ77="Нет"),"Право собственности",""),IF(OR(AK77="",AK77="Нет"),"Справка об отсутствии обременений",""))="","",TEXTJOIN(", ",TRUE,IF(B77="","Название",""),IF(C77="","Тип недвижимости",""),IF(D77="","Страна",""),IF(E77="","Город",""),IF(F77="","Улица",""),IF(I77="","Валюта",""),IF(OR(AE77="",AE77&lt;1),"Хотя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земли",""),IF(OR(W77="",W77&lt;=0),"Продать сейчас",""),IF(OR(X77="",X77&lt;=0),"Минимальная цена продажи",""),IF(OR(Y77="",Y77&lt;=0),"Стартовая ставка",""),IF(Z77="","Начало аукциона",""),IF(AA77="","Окончание аукциона",""),IF(AND(W77&lt;&gt;"",X77&lt;&gt;"",X77&gt;W77),"Минимальная цена выше «Продать сейчас»",""),IF(AND(W77&lt;&gt;"",X77&lt;&gt;"",X77&lt;=W77,X77&gt;W77*0.9),"Минимальная цена выше 90% от «Продать сейчас»",""),IF(AND(W77&lt;&gt;"",Y77&lt;&gt;"",Y77&gt;W77*0.3),"Стартовая ставка выше 30% от «Продать сейчас»",""),IF(AND(Z77&lt;&gt;"",AA77&lt;&gt;"",AA77&lt;EDATE(Z77,3)+15),"Аукцион короче 3 месяцев и 15 дней",""),IF(AND(AB77="Да",OR(AC77="",AC77&lt;=0)),"Цена тест-драйва за сутки",""),IF(OR(AJ77="",AJ77="Нет"),"Право собственности",""),IF(OR(AK77="",AK77="Нет"),"Справка об отсутствии обременений",""))))</f>
        <v/>
      </c>
      <c r="AN77" s="35">
        <f>IF(NOT(COUNTA(A77:AL77)&gt;0),"",IF(TEXTJOIN(", ",TRUE,IF(AH77="","Описание",""),IF(AND(AE77&lt;&gt;"",AE77&gt;=1,AE77&lt;5),"Фото меньше 5",""),IF(AG77="","Видео",""),IF(H77="","Кадастровый номер",""),IF(AF77="","Ссылка на фото",""))="","",TEXTJOIN(", ",TRUE,IF(AH77="","Описание",""),IF(AND(AE77&lt;&gt;"",AE77&gt;=1,AE77&lt;5),"Фото меньше 5",""),IF(AG77="","Видео",""),IF(H77="","Кадастровый номер",""),IF(AF77="","Ссылка на фото",""))))</f>
        <v/>
      </c>
      <c r="AO77" s="35">
        <f>IF(NOT(COUNTA(A77:AL77)&gt;0),"",IF(AM77="","Можно публиковать","Не хватает"))</f>
        <v/>
      </c>
    </row>
    <row r="78" ht="22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7" t="n"/>
      <c r="K78" s="37" t="n"/>
      <c r="L78" s="37" t="n"/>
      <c r="M78" s="38" t="n"/>
      <c r="N78" s="38" t="n"/>
      <c r="O78" s="38" t="n"/>
      <c r="P78" s="38" t="n"/>
      <c r="Q78" s="38" t="n"/>
      <c r="R78" s="38" t="n"/>
      <c r="S78" s="36" t="n"/>
      <c r="T78" s="36" t="n"/>
      <c r="U78" s="36" t="n"/>
      <c r="V78" s="36" t="n"/>
      <c r="W78" s="39" t="n"/>
      <c r="X78" s="39" t="n"/>
      <c r="Y78" s="39" t="n"/>
      <c r="Z78" s="40" t="n"/>
      <c r="AA78" s="40" t="n"/>
      <c r="AB78" s="36" t="n"/>
      <c r="AC78" s="39" t="n"/>
      <c r="AD78" s="39" t="n"/>
      <c r="AE78" s="38" t="n"/>
      <c r="AF78" s="36" t="n"/>
      <c r="AG78" s="36" t="n"/>
      <c r="AH78" s="36" t="n"/>
      <c r="AI78" s="36" t="n"/>
      <c r="AJ78" s="36" t="n"/>
      <c r="AK78" s="36" t="n"/>
      <c r="AL78" s="36" t="n"/>
      <c r="AM78" s="35">
        <f>IF(NOT(COUNTA(A78:AL78)&gt;0),"",IF(TEXTJOIN(", ",TRUE,IF(B78="","Название",""),IF(C78="","Тип недвижимости",""),IF(D78="","Страна",""),IF(E78="","Город",""),IF(F78="","Улица",""),IF(I78="","Валюта",""),IF(OR(AE78="",AE78&lt;1),"Хотя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земли",""),IF(OR(W78="",W78&lt;=0),"Продать сейчас",""),IF(OR(X78="",X78&lt;=0),"Минимальная цена продажи",""),IF(OR(Y78="",Y78&lt;=0),"Стартовая ставка",""),IF(Z78="","Начало аукциона",""),IF(AA78="","Окончание аукциона",""),IF(AND(W78&lt;&gt;"",X78&lt;&gt;"",X78&gt;W78),"Минимальная цена выше «Продать сейчас»",""),IF(AND(W78&lt;&gt;"",X78&lt;&gt;"",X78&lt;=W78,X78&gt;W78*0.9),"Минимальная цена выше 90% от «Продать сейчас»",""),IF(AND(W78&lt;&gt;"",Y78&lt;&gt;"",Y78&gt;W78*0.3),"Стартовая ставка выше 30% от «Продать сейчас»",""),IF(AND(Z78&lt;&gt;"",AA78&lt;&gt;"",AA78&lt;EDATE(Z78,3)+15),"Аукцион короче 3 месяцев и 15 дней",""),IF(AND(AB78="Да",OR(AC78="",AC78&lt;=0)),"Цена тест-драйва за сутки",""),IF(OR(AJ78="",AJ78="Нет"),"Право собственности",""),IF(OR(AK78="",AK78="Нет"),"Справка об отсутствии обременений",""))="","",TEXTJOIN(", ",TRUE,IF(B78="","Название",""),IF(C78="","Тип недвижимости",""),IF(D78="","Страна",""),IF(E78="","Город",""),IF(F78="","Улица",""),IF(I78="","Валюта",""),IF(OR(AE78="",AE78&lt;1),"Хотя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земли",""),IF(OR(W78="",W78&lt;=0),"Продать сейчас",""),IF(OR(X78="",X78&lt;=0),"Минимальная цена продажи",""),IF(OR(Y78="",Y78&lt;=0),"Стартовая ставка",""),IF(Z78="","Начало аукциона",""),IF(AA78="","Окончание аукциона",""),IF(AND(W78&lt;&gt;"",X78&lt;&gt;"",X78&gt;W78),"Минимальная цена выше «Продать сейчас»",""),IF(AND(W78&lt;&gt;"",X78&lt;&gt;"",X78&lt;=W78,X78&gt;W78*0.9),"Минимальная цена выше 90% от «Продать сейчас»",""),IF(AND(W78&lt;&gt;"",Y78&lt;&gt;"",Y78&gt;W78*0.3),"Стартовая ставка выше 30% от «Продать сейчас»",""),IF(AND(Z78&lt;&gt;"",AA78&lt;&gt;"",AA78&lt;EDATE(Z78,3)+15),"Аукцион короче 3 месяцев и 15 дней",""),IF(AND(AB78="Да",OR(AC78="",AC78&lt;=0)),"Цена тест-драйва за сутки",""),IF(OR(AJ78="",AJ78="Нет"),"Право собственности",""),IF(OR(AK78="",AK78="Нет"),"Справка об отсутствии обременений",""))))</f>
        <v/>
      </c>
      <c r="AN78" s="35">
        <f>IF(NOT(COUNTA(A78:AL78)&gt;0),"",IF(TEXTJOIN(", ",TRUE,IF(AH78="","Описание",""),IF(AND(AE78&lt;&gt;"",AE78&gt;=1,AE78&lt;5),"Фото меньше 5",""),IF(AG78="","Видео",""),IF(H78="","Кадастровый номер",""),IF(AF78="","Ссылка на фото",""))="","",TEXTJOIN(", ",TRUE,IF(AH78="","Описание",""),IF(AND(AE78&lt;&gt;"",AE78&gt;=1,AE78&lt;5),"Фото меньше 5",""),IF(AG78="","Видео",""),IF(H78="","Кадастровый номер",""),IF(AF78="","Ссылка на фото",""))))</f>
        <v/>
      </c>
      <c r="AO78" s="35">
        <f>IF(NOT(COUNTA(A78:AL78)&gt;0),"",IF(AM78="","Можно публиковать","Не хватает"))</f>
        <v/>
      </c>
    </row>
    <row r="79" ht="22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31" t="n"/>
      <c r="L79" s="31" t="n"/>
      <c r="M79" s="32" t="n"/>
      <c r="N79" s="32" t="n"/>
      <c r="O79" s="32" t="n"/>
      <c r="P79" s="32" t="n"/>
      <c r="Q79" s="32" t="n"/>
      <c r="R79" s="32" t="n"/>
      <c r="S79" s="30" t="n"/>
      <c r="T79" s="30" t="n"/>
      <c r="U79" s="30" t="n"/>
      <c r="V79" s="30" t="n"/>
      <c r="W79" s="33" t="n"/>
      <c r="X79" s="33" t="n"/>
      <c r="Y79" s="33" t="n"/>
      <c r="Z79" s="34" t="n"/>
      <c r="AA79" s="34" t="n"/>
      <c r="AB79" s="30" t="n"/>
      <c r="AC79" s="33" t="n"/>
      <c r="AD79" s="33" t="n"/>
      <c r="AE79" s="32" t="n"/>
      <c r="AF79" s="30" t="n"/>
      <c r="AG79" s="30" t="n"/>
      <c r="AH79" s="30" t="n"/>
      <c r="AI79" s="30" t="n"/>
      <c r="AJ79" s="30" t="n"/>
      <c r="AK79" s="30" t="n"/>
      <c r="AL79" s="30" t="n"/>
      <c r="AM79" s="35">
        <f>IF(NOT(COUNTA(A79:AL79)&gt;0),"",IF(TEXTJOIN(", ",TRUE,IF(B79="","Название",""),IF(C79="","Тип недвижимости",""),IF(D79="","Страна",""),IF(E79="","Город",""),IF(F79="","Улица",""),IF(I79="","Валюта",""),IF(OR(AE79="",AE79&lt;1),"Хотя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земли",""),IF(OR(W79="",W79&lt;=0),"Продать сейчас",""),IF(OR(X79="",X79&lt;=0),"Минимальная цена продажи",""),IF(OR(Y79="",Y79&lt;=0),"Стартовая ставка",""),IF(Z79="","Начало аукциона",""),IF(AA79="","Окончание аукциона",""),IF(AND(W79&lt;&gt;"",X79&lt;&gt;"",X79&gt;W79),"Минимальная цена выше «Продать сейчас»",""),IF(AND(W79&lt;&gt;"",X79&lt;&gt;"",X79&lt;=W79,X79&gt;W79*0.9),"Минимальная цена выше 90% от «Продать сейчас»",""),IF(AND(W79&lt;&gt;"",Y79&lt;&gt;"",Y79&gt;W79*0.3),"Стартовая ставка выше 30% от «Продать сейчас»",""),IF(AND(Z79&lt;&gt;"",AA79&lt;&gt;"",AA79&lt;EDATE(Z79,3)+15),"Аукцион короче 3 месяцев и 15 дней",""),IF(AND(AB79="Да",OR(AC79="",AC79&lt;=0)),"Цена тест-драйва за сутки",""),IF(OR(AJ79="",AJ79="Нет"),"Право собственности",""),IF(OR(AK79="",AK79="Нет"),"Справка об отсутствии обременений",""))="","",TEXTJOIN(", ",TRUE,IF(B79="","Название",""),IF(C79="","Тип недвижимости",""),IF(D79="","Страна",""),IF(E79="","Город",""),IF(F79="","Улица",""),IF(I79="","Валюта",""),IF(OR(AE79="",AE79&lt;1),"Хотя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земли",""),IF(OR(W79="",W79&lt;=0),"Продать сейчас",""),IF(OR(X79="",X79&lt;=0),"Минимальная цена продажи",""),IF(OR(Y79="",Y79&lt;=0),"Стартовая ставка",""),IF(Z79="","Начало аукциона",""),IF(AA79="","Окончание аукциона",""),IF(AND(W79&lt;&gt;"",X79&lt;&gt;"",X79&gt;W79),"Минимальная цена выше «Продать сейчас»",""),IF(AND(W79&lt;&gt;"",X79&lt;&gt;"",X79&lt;=W79,X79&gt;W79*0.9),"Минимальная цена выше 90% от «Продать сейчас»",""),IF(AND(W79&lt;&gt;"",Y79&lt;&gt;"",Y79&gt;W79*0.3),"Стартовая ставка выше 30% от «Продать сейчас»",""),IF(AND(Z79&lt;&gt;"",AA79&lt;&gt;"",AA79&lt;EDATE(Z79,3)+15),"Аукцион короче 3 месяцев и 15 дней",""),IF(AND(AB79="Да",OR(AC79="",AC79&lt;=0)),"Цена тест-драйва за сутки",""),IF(OR(AJ79="",AJ79="Нет"),"Право собственности",""),IF(OR(AK79="",AK79="Нет"),"Справка об отсутствии обременений",""))))</f>
        <v/>
      </c>
      <c r="AN79" s="35">
        <f>IF(NOT(COUNTA(A79:AL79)&gt;0),"",IF(TEXTJOIN(", ",TRUE,IF(AH79="","Описание",""),IF(AND(AE79&lt;&gt;"",AE79&gt;=1,AE79&lt;5),"Фото меньше 5",""),IF(AG79="","Видео",""),IF(H79="","Кадастровый номер",""),IF(AF79="","Ссылка на фото",""))="","",TEXTJOIN(", ",TRUE,IF(AH79="","Описание",""),IF(AND(AE79&lt;&gt;"",AE79&gt;=1,AE79&lt;5),"Фото меньше 5",""),IF(AG79="","Видео",""),IF(H79="","Кадастровый номер",""),IF(AF79="","Ссылка на фото",""))))</f>
        <v/>
      </c>
      <c r="AO79" s="35">
        <f>IF(NOT(COUNTA(A79:AL79)&gt;0),"",IF(AM79="","Можно публиковать","Не хватает"))</f>
        <v/>
      </c>
    </row>
    <row r="80" ht="22" customHeight="1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7" t="n"/>
      <c r="K80" s="37" t="n"/>
      <c r="L80" s="37" t="n"/>
      <c r="M80" s="38" t="n"/>
      <c r="N80" s="38" t="n"/>
      <c r="O80" s="38" t="n"/>
      <c r="P80" s="38" t="n"/>
      <c r="Q80" s="38" t="n"/>
      <c r="R80" s="38" t="n"/>
      <c r="S80" s="36" t="n"/>
      <c r="T80" s="36" t="n"/>
      <c r="U80" s="36" t="n"/>
      <c r="V80" s="36" t="n"/>
      <c r="W80" s="39" t="n"/>
      <c r="X80" s="39" t="n"/>
      <c r="Y80" s="39" t="n"/>
      <c r="Z80" s="40" t="n"/>
      <c r="AA80" s="40" t="n"/>
      <c r="AB80" s="36" t="n"/>
      <c r="AC80" s="39" t="n"/>
      <c r="AD80" s="39" t="n"/>
      <c r="AE80" s="38" t="n"/>
      <c r="AF80" s="36" t="n"/>
      <c r="AG80" s="36" t="n"/>
      <c r="AH80" s="36" t="n"/>
      <c r="AI80" s="36" t="n"/>
      <c r="AJ80" s="36" t="n"/>
      <c r="AK80" s="36" t="n"/>
      <c r="AL80" s="36" t="n"/>
      <c r="AM80" s="35">
        <f>IF(NOT(COUNTA(A80:AL80)&gt;0),"",IF(TEXTJOIN(", ",TRUE,IF(B80="","Название",""),IF(C80="","Тип недвижимости",""),IF(D80="","Страна",""),IF(E80="","Город",""),IF(F80="","Улица",""),IF(I80="","Валюта",""),IF(OR(AE80="",AE80&lt;1),"Хотя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земли",""),IF(OR(W80="",W80&lt;=0),"Продать сейчас",""),IF(OR(X80="",X80&lt;=0),"Минимальная цена продажи",""),IF(OR(Y80="",Y80&lt;=0),"Стартовая ставка",""),IF(Z80="","Начало аукциона",""),IF(AA80="","Окончание аукциона",""),IF(AND(W80&lt;&gt;"",X80&lt;&gt;"",X80&gt;W80),"Минимальная цена выше «Продать сейчас»",""),IF(AND(W80&lt;&gt;"",X80&lt;&gt;"",X80&lt;=W80,X80&gt;W80*0.9),"Минимальная цена выше 90% от «Продать сейчас»",""),IF(AND(W80&lt;&gt;"",Y80&lt;&gt;"",Y80&gt;W80*0.3),"Стартовая ставка выше 30% от «Продать сейчас»",""),IF(AND(Z80&lt;&gt;"",AA80&lt;&gt;"",AA80&lt;EDATE(Z80,3)+15),"Аукцион короче 3 месяцев и 15 дней",""),IF(AND(AB80="Да",OR(AC80="",AC80&lt;=0)),"Цена тест-драйва за сутки",""),IF(OR(AJ80="",AJ80="Нет"),"Право собственности",""),IF(OR(AK80="",AK80="Нет"),"Справка об отсутствии обременений",""))="","",TEXTJOIN(", ",TRUE,IF(B80="","Название",""),IF(C80="","Тип недвижимости",""),IF(D80="","Страна",""),IF(E80="","Город",""),IF(F80="","Улица",""),IF(I80="","Валюта",""),IF(OR(AE80="",AE80&lt;1),"Хотя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земли",""),IF(OR(W80="",W80&lt;=0),"Продать сейчас",""),IF(OR(X80="",X80&lt;=0),"Минимальная цена продажи",""),IF(OR(Y80="",Y80&lt;=0),"Стартовая ставка",""),IF(Z80="","Начало аукциона",""),IF(AA80="","Окончание аукциона",""),IF(AND(W80&lt;&gt;"",X80&lt;&gt;"",X80&gt;W80),"Минимальная цена выше «Продать сейчас»",""),IF(AND(W80&lt;&gt;"",X80&lt;&gt;"",X80&lt;=W80,X80&gt;W80*0.9),"Минимальная цена выше 90% от «Продать сейчас»",""),IF(AND(W80&lt;&gt;"",Y80&lt;&gt;"",Y80&gt;W80*0.3),"Стартовая ставка выше 30% от «Продать сейчас»",""),IF(AND(Z80&lt;&gt;"",AA80&lt;&gt;"",AA80&lt;EDATE(Z80,3)+15),"Аукцион короче 3 месяцев и 15 дней",""),IF(AND(AB80="Да",OR(AC80="",AC80&lt;=0)),"Цена тест-драйва за сутки",""),IF(OR(AJ80="",AJ80="Нет"),"Право собственности",""),IF(OR(AK80="",AK80="Нет"),"Справка об отсутствии обременений",""))))</f>
        <v/>
      </c>
      <c r="AN80" s="35">
        <f>IF(NOT(COUNTA(A80:AL80)&gt;0),"",IF(TEXTJOIN(", ",TRUE,IF(AH80="","Описание",""),IF(AND(AE80&lt;&gt;"",AE80&gt;=1,AE80&lt;5),"Фото меньше 5",""),IF(AG80="","Видео",""),IF(H80="","Кадастровый номер",""),IF(AF80="","Ссылка на фото",""))="","",TEXTJOIN(", ",TRUE,IF(AH80="","Описание",""),IF(AND(AE80&lt;&gt;"",AE80&gt;=1,AE80&lt;5),"Фото меньше 5",""),IF(AG80="","Видео",""),IF(H80="","Кадастровый номер",""),IF(AF80="","Ссылка на фото",""))))</f>
        <v/>
      </c>
      <c r="AO80" s="35">
        <f>IF(NOT(COUNTA(A80:AL80)&gt;0),"",IF(AM80="","Можно публиковать","Не хватает"))</f>
        <v/>
      </c>
    </row>
    <row r="81" ht="22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 t="n"/>
      <c r="K81" s="31" t="n"/>
      <c r="L81" s="31" t="n"/>
      <c r="M81" s="32" t="n"/>
      <c r="N81" s="32" t="n"/>
      <c r="O81" s="32" t="n"/>
      <c r="P81" s="32" t="n"/>
      <c r="Q81" s="32" t="n"/>
      <c r="R81" s="32" t="n"/>
      <c r="S81" s="30" t="n"/>
      <c r="T81" s="30" t="n"/>
      <c r="U81" s="30" t="n"/>
      <c r="V81" s="30" t="n"/>
      <c r="W81" s="33" t="n"/>
      <c r="X81" s="33" t="n"/>
      <c r="Y81" s="33" t="n"/>
      <c r="Z81" s="34" t="n"/>
      <c r="AA81" s="34" t="n"/>
      <c r="AB81" s="30" t="n"/>
      <c r="AC81" s="33" t="n"/>
      <c r="AD81" s="33" t="n"/>
      <c r="AE81" s="32" t="n"/>
      <c r="AF81" s="30" t="n"/>
      <c r="AG81" s="30" t="n"/>
      <c r="AH81" s="30" t="n"/>
      <c r="AI81" s="30" t="n"/>
      <c r="AJ81" s="30" t="n"/>
      <c r="AK81" s="30" t="n"/>
      <c r="AL81" s="30" t="n"/>
      <c r="AM81" s="35">
        <f>IF(NOT(COUNTA(A81:AL81)&gt;0),"",IF(TEXTJOIN(", ",TRUE,IF(B81="","Название",""),IF(C81="","Тип недвижимости",""),IF(D81="","Страна",""),IF(E81="","Город",""),IF(F81="","Улица",""),IF(I81="","Валюта",""),IF(OR(AE81="",AE81&lt;1),"Хотя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земли",""),IF(OR(W81="",W81&lt;=0),"Продать сейчас",""),IF(OR(X81="",X81&lt;=0),"Минимальная цена продажи",""),IF(OR(Y81="",Y81&lt;=0),"Стартовая ставка",""),IF(Z81="","Начало аукциона",""),IF(AA81="","Окончание аукциона",""),IF(AND(W81&lt;&gt;"",X81&lt;&gt;"",X81&gt;W81),"Минимальная цена выше «Продать сейчас»",""),IF(AND(W81&lt;&gt;"",X81&lt;&gt;"",X81&lt;=W81,X81&gt;W81*0.9),"Минимальная цена выше 90% от «Продать сейчас»",""),IF(AND(W81&lt;&gt;"",Y81&lt;&gt;"",Y81&gt;W81*0.3),"Стартовая ставка выше 30% от «Продать сейчас»",""),IF(AND(Z81&lt;&gt;"",AA81&lt;&gt;"",AA81&lt;EDATE(Z81,3)+15),"Аукцион короче 3 месяцев и 15 дней",""),IF(AND(AB81="Да",OR(AC81="",AC81&lt;=0)),"Цена тест-драйва за сутки",""),IF(OR(AJ81="",AJ81="Нет"),"Право собственности",""),IF(OR(AK81="",AK81="Нет"),"Справка об отсутствии обременений",""))="","",TEXTJOIN(", ",TRUE,IF(B81="","Название",""),IF(C81="","Тип недвижимости",""),IF(D81="","Страна",""),IF(E81="","Город",""),IF(F81="","Улица",""),IF(I81="","Валюта",""),IF(OR(AE81="",AE81&lt;1),"Хотя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земли",""),IF(OR(W81="",W81&lt;=0),"Продать сейчас",""),IF(OR(X81="",X81&lt;=0),"Минимальная цена продажи",""),IF(OR(Y81="",Y81&lt;=0),"Стартовая ставка",""),IF(Z81="","Начало аукциона",""),IF(AA81="","Окончание аукциона",""),IF(AND(W81&lt;&gt;"",X81&lt;&gt;"",X81&gt;W81),"Минимальная цена выше «Продать сейчас»",""),IF(AND(W81&lt;&gt;"",X81&lt;&gt;"",X81&lt;=W81,X81&gt;W81*0.9),"Минимальная цена выше 90% от «Продать сейчас»",""),IF(AND(W81&lt;&gt;"",Y81&lt;&gt;"",Y81&gt;W81*0.3),"Стартовая ставка выше 30% от «Продать сейчас»",""),IF(AND(Z81&lt;&gt;"",AA81&lt;&gt;"",AA81&lt;EDATE(Z81,3)+15),"Аукцион короче 3 месяцев и 15 дней",""),IF(AND(AB81="Да",OR(AC81="",AC81&lt;=0)),"Цена тест-драйва за сутки",""),IF(OR(AJ81="",AJ81="Нет"),"Право собственности",""),IF(OR(AK81="",AK81="Нет"),"Справка об отсутствии обременений",""))))</f>
        <v/>
      </c>
      <c r="AN81" s="35">
        <f>IF(NOT(COUNTA(A81:AL81)&gt;0),"",IF(TEXTJOIN(", ",TRUE,IF(AH81="","Описание",""),IF(AND(AE81&lt;&gt;"",AE81&gt;=1,AE81&lt;5),"Фото меньше 5",""),IF(AG81="","Видео",""),IF(H81="","Кадастровый номер",""),IF(AF81="","Ссылка на фото",""))="","",TEXTJOIN(", ",TRUE,IF(AH81="","Описание",""),IF(AND(AE81&lt;&gt;"",AE81&gt;=1,AE81&lt;5),"Фото меньше 5",""),IF(AG81="","Видео",""),IF(H81="","Кадастровый номер",""),IF(AF81="","Ссылка на фото",""))))</f>
        <v/>
      </c>
      <c r="AO81" s="35">
        <f>IF(NOT(COUNTA(A81:AL81)&gt;0),"",IF(AM81="","Можно публиковать","Не хватает"))</f>
        <v/>
      </c>
    </row>
    <row r="82" ht="22" customHeight="1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7" t="n"/>
      <c r="K82" s="37" t="n"/>
      <c r="L82" s="37" t="n"/>
      <c r="M82" s="38" t="n"/>
      <c r="N82" s="38" t="n"/>
      <c r="O82" s="38" t="n"/>
      <c r="P82" s="38" t="n"/>
      <c r="Q82" s="38" t="n"/>
      <c r="R82" s="38" t="n"/>
      <c r="S82" s="36" t="n"/>
      <c r="T82" s="36" t="n"/>
      <c r="U82" s="36" t="n"/>
      <c r="V82" s="36" t="n"/>
      <c r="W82" s="39" t="n"/>
      <c r="X82" s="39" t="n"/>
      <c r="Y82" s="39" t="n"/>
      <c r="Z82" s="40" t="n"/>
      <c r="AA82" s="40" t="n"/>
      <c r="AB82" s="36" t="n"/>
      <c r="AC82" s="39" t="n"/>
      <c r="AD82" s="39" t="n"/>
      <c r="AE82" s="38" t="n"/>
      <c r="AF82" s="36" t="n"/>
      <c r="AG82" s="36" t="n"/>
      <c r="AH82" s="36" t="n"/>
      <c r="AI82" s="36" t="n"/>
      <c r="AJ82" s="36" t="n"/>
      <c r="AK82" s="36" t="n"/>
      <c r="AL82" s="36" t="n"/>
      <c r="AM82" s="35">
        <f>IF(NOT(COUNTA(A82:AL82)&gt;0),"",IF(TEXTJOIN(", ",TRUE,IF(B82="","Название",""),IF(C82="","Тип недвижимости",""),IF(D82="","Страна",""),IF(E82="","Город",""),IF(F82="","Улица",""),IF(I82="","Валюта",""),IF(OR(AE82="",AE82&lt;1),"Хотя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земли",""),IF(OR(W82="",W82&lt;=0),"Продать сейчас",""),IF(OR(X82="",X82&lt;=0),"Минимальная цена продажи",""),IF(OR(Y82="",Y82&lt;=0),"Стартовая ставка",""),IF(Z82="","Начало аукциона",""),IF(AA82="","Окончание аукциона",""),IF(AND(W82&lt;&gt;"",X82&lt;&gt;"",X82&gt;W82),"Минимальная цена выше «Продать сейчас»",""),IF(AND(W82&lt;&gt;"",X82&lt;&gt;"",X82&lt;=W82,X82&gt;W82*0.9),"Минимальная цена выше 90% от «Продать сейчас»",""),IF(AND(W82&lt;&gt;"",Y82&lt;&gt;"",Y82&gt;W82*0.3),"Стартовая ставка выше 30% от «Продать сейчас»",""),IF(AND(Z82&lt;&gt;"",AA82&lt;&gt;"",AA82&lt;EDATE(Z82,3)+15),"Аукцион короче 3 месяцев и 15 дней",""),IF(AND(AB82="Да",OR(AC82="",AC82&lt;=0)),"Цена тест-драйва за сутки",""),IF(OR(AJ82="",AJ82="Нет"),"Право собственности",""),IF(OR(AK82="",AK82="Нет"),"Справка об отсутствии обременений",""))="","",TEXTJOIN(", ",TRUE,IF(B82="","Название",""),IF(C82="","Тип недвижимости",""),IF(D82="","Страна",""),IF(E82="","Город",""),IF(F82="","Улица",""),IF(I82="","Валюта",""),IF(OR(AE82="",AE82&lt;1),"Хотя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земли",""),IF(OR(W82="",W82&lt;=0),"Продать сейчас",""),IF(OR(X82="",X82&lt;=0),"Минимальная цена продажи",""),IF(OR(Y82="",Y82&lt;=0),"Стартовая ставка",""),IF(Z82="","Начало аукциона",""),IF(AA82="","Окончание аукциона",""),IF(AND(W82&lt;&gt;"",X82&lt;&gt;"",X82&gt;W82),"Минимальная цена выше «Продать сейчас»",""),IF(AND(W82&lt;&gt;"",X82&lt;&gt;"",X82&lt;=W82,X82&gt;W82*0.9),"Минимальная цена выше 90% от «Продать сейчас»",""),IF(AND(W82&lt;&gt;"",Y82&lt;&gt;"",Y82&gt;W82*0.3),"Стартовая ставка выше 30% от «Продать сейчас»",""),IF(AND(Z82&lt;&gt;"",AA82&lt;&gt;"",AA82&lt;EDATE(Z82,3)+15),"Аукцион короче 3 месяцев и 15 дней",""),IF(AND(AB82="Да",OR(AC82="",AC82&lt;=0)),"Цена тест-драйва за сутки",""),IF(OR(AJ82="",AJ82="Нет"),"Право собственности",""),IF(OR(AK82="",AK82="Нет"),"Справка об отсутствии обременений",""))))</f>
        <v/>
      </c>
      <c r="AN82" s="35">
        <f>IF(NOT(COUNTA(A82:AL82)&gt;0),"",IF(TEXTJOIN(", ",TRUE,IF(AH82="","Описание",""),IF(AND(AE82&lt;&gt;"",AE82&gt;=1,AE82&lt;5),"Фото меньше 5",""),IF(AG82="","Видео",""),IF(H82="","Кадастровый номер",""),IF(AF82="","Ссылка на фото",""))="","",TEXTJOIN(", ",TRUE,IF(AH82="","Описание",""),IF(AND(AE82&lt;&gt;"",AE82&gt;=1,AE82&lt;5),"Фото меньше 5",""),IF(AG82="","Видео",""),IF(H82="","Кадастровый номер",""),IF(AF82="","Ссылка на фото",""))))</f>
        <v/>
      </c>
      <c r="AO82" s="35">
        <f>IF(NOT(COUNTA(A82:AL82)&gt;0),"",IF(AM82="","Можно публиковать","Не хватает"))</f>
        <v/>
      </c>
    </row>
  </sheetData>
  <autoFilter ref="A2:AO82"/>
  <mergeCells count="8">
    <mergeCell ref="J1:V1"/>
    <mergeCell ref="AJ1:AL1"/>
    <mergeCell ref="D1:H1"/>
    <mergeCell ref="AE1:AI1"/>
    <mergeCell ref="W1:AA1"/>
    <mergeCell ref="AM1:AO1"/>
    <mergeCell ref="B1:C1"/>
    <mergeCell ref="AB1:AD1"/>
  </mergeCells>
  <conditionalFormatting sqref="AO3:AO82">
    <cfRule type="expression" priority="1" dxfId="0">
      <formula>AO3="Можно публиковать"</formula>
    </cfRule>
    <cfRule type="expression" priority="2" dxfId="1">
      <formula>AO3="Не хватает"</formula>
    </cfRule>
  </conditionalFormatting>
  <conditionalFormatting sqref="AM3:AM82">
    <cfRule type="expression" priority="3" dxfId="2">
      <formula>AM3&lt;&gt;""</formula>
    </cfRule>
  </conditionalFormatting>
  <dataValidations count="9">
    <dataValidation sqref="C3:C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=Types</formula1>
    </dataValidation>
    <dataValidation sqref="I3:I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=Currencies</formula1>
    </dataValidation>
    <dataValidation sqref="S3:S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=Materials</formula1>
    </dataValidation>
    <dataValidation sqref="T3:T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=Construction</formula1>
    </dataValidation>
    <dataValidation sqref="U3:U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=Commercial</formula1>
    </dataValidation>
    <dataValidation sqref="V3:V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=Purpose</formula1>
    </dataValidation>
    <dataValidation sqref="AB3:AB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J3:AJ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K3:AK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</dataValidations>
  <pageMargins left="0.75" right="0.75" top="1" bottom="1" header="0.5" footer="0.5"/>
  <pageSetup orientation="landscape" paperSize="8" fitToHeight="0" fitToWidth="1"/>
  <headerFooter>
    <oddHeader>&amp;LКупить сейчас</oddHeader>
    <oddFooter>&amp;RПустая ячейка в «Не хватает для публикации» значит, что объект можно публиковать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99A9"/>
    <outlinePr summaryBelow="1" summaryRight="1"/>
    <pageSetUpPr fitToPage="1"/>
  </sheetPr>
  <dimension ref="A1:AO82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6" customWidth="1" min="4" max="4"/>
    <col width="16" customWidth="1" min="5" max="5"/>
    <col width="26" customWidth="1" min="6" max="6"/>
    <col width="14" customWidth="1" min="7" max="7"/>
    <col width="22" customWidth="1" min="8" max="8"/>
    <col width="12" customWidth="1" min="9" max="9"/>
    <col width="14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0" customWidth="1" min="18" max="18"/>
    <col width="16" customWidth="1" min="19" max="19"/>
    <col width="16" customWidth="1" min="20" max="20"/>
    <col width="18" customWidth="1" min="21" max="21"/>
    <col width="22" customWidth="1" min="22" max="22"/>
    <col width="16" customWidth="1" min="23" max="23"/>
    <col width="18" customWidth="1" min="24" max="24"/>
    <col width="16" customWidth="1" min="25" max="25"/>
    <col width="16" customWidth="1" min="26" max="26"/>
    <col width="18" customWidth="1" min="27" max="27"/>
    <col width="14" customWidth="1" min="28" max="28"/>
    <col width="18" customWidth="1" min="29" max="29"/>
    <col width="18" customWidth="1" min="30" max="30"/>
    <col width="12" customWidth="1" min="31" max="31"/>
    <col width="28" customWidth="1" min="32" max="32"/>
    <col width="24" customWidth="1" min="33" max="33"/>
    <col width="36" customWidth="1" min="34" max="34"/>
    <col width="28" customWidth="1" min="35" max="35"/>
    <col width="20" customWidth="1" min="36" max="36"/>
    <col width="18" customWidth="1" min="37" max="37"/>
    <col width="22" customWidth="1" min="38" max="38"/>
    <col width="42" customWidth="1" min="39" max="39"/>
    <col width="36" customWidth="1" min="40" max="40"/>
    <col width="20" customWidth="1" min="41" max="41"/>
  </cols>
  <sheetData>
    <row r="1" ht="22" customHeight="1">
      <c r="A1" s="12" t="inlineStr">
        <is>
          <t>Сбор</t>
        </is>
      </c>
      <c r="B1" s="13" t="inlineStr">
        <is>
          <t>Объект</t>
        </is>
      </c>
      <c r="D1" s="14" t="inlineStr">
        <is>
          <t>Адрес</t>
        </is>
      </c>
      <c r="I1" s="13" t="inlineStr">
        <is>
          <t>Объект</t>
        </is>
      </c>
      <c r="J1" s="15" t="inlineStr">
        <is>
          <t>Параметры</t>
        </is>
      </c>
      <c r="W1" s="16" t="inlineStr">
        <is>
          <t>Цена</t>
        </is>
      </c>
      <c r="AB1" s="12" t="inlineStr">
        <is>
          <t>Тест-драйв</t>
        </is>
      </c>
      <c r="AE1" s="17" t="inlineStr">
        <is>
          <t>Подача</t>
        </is>
      </c>
      <c r="AJ1" s="18" t="inlineStr">
        <is>
          <t>Документы</t>
        </is>
      </c>
      <c r="AM1" s="19" t="inlineStr">
        <is>
          <t>Проверка</t>
        </is>
      </c>
    </row>
    <row r="2" ht="36" customHeight="1">
      <c r="A2" s="20" t="inlineStr">
        <is>
          <t>Источник</t>
        </is>
      </c>
      <c r="B2" s="21" t="inlineStr">
        <is>
          <t>Название</t>
        </is>
      </c>
      <c r="C2" s="21" t="inlineStr">
        <is>
          <t>Тип недвижимости</t>
        </is>
      </c>
      <c r="D2" s="22" t="inlineStr">
        <is>
          <t>Страна</t>
        </is>
      </c>
      <c r="E2" s="22" t="inlineStr">
        <is>
          <t>Город</t>
        </is>
      </c>
      <c r="F2" s="22" t="inlineStr">
        <is>
          <t>Улица</t>
        </is>
      </c>
      <c r="G2" s="22" t="inlineStr">
        <is>
          <t>Номер дома</t>
        </is>
      </c>
      <c r="H2" s="22" t="inlineStr">
        <is>
          <t>Кадастровый номер</t>
        </is>
      </c>
      <c r="I2" s="21" t="inlineStr">
        <is>
          <t>Валюта</t>
        </is>
      </c>
      <c r="J2" s="23" t="inlineStr">
        <is>
          <t>Площадь, м²</t>
        </is>
      </c>
      <c r="K2" s="23" t="inlineStr">
        <is>
          <t>Жилая, м²</t>
        </is>
      </c>
      <c r="L2" s="23" t="inlineStr">
        <is>
          <t>Участок, м²</t>
        </is>
      </c>
      <c r="M2" s="23" t="inlineStr">
        <is>
          <t>Комнаты</t>
        </is>
      </c>
      <c r="N2" s="23" t="inlineStr">
        <is>
          <t>Спальни</t>
        </is>
      </c>
      <c r="O2" s="23" t="inlineStr">
        <is>
          <t>Ванные</t>
        </is>
      </c>
      <c r="P2" s="23" t="inlineStr">
        <is>
          <t>Этаж</t>
        </is>
      </c>
      <c r="Q2" s="23" t="inlineStr">
        <is>
          <t>Этажей</t>
        </is>
      </c>
      <c r="R2" s="23" t="inlineStr">
        <is>
          <t>Год</t>
        </is>
      </c>
      <c r="S2" s="23" t="inlineStr">
        <is>
          <t>Материал</t>
        </is>
      </c>
      <c r="T2" s="23" t="inlineStr">
        <is>
          <t>Конструкция</t>
        </is>
      </c>
      <c r="U2" s="23" t="inlineStr">
        <is>
          <t>Тип коммерции</t>
        </is>
      </c>
      <c r="V2" s="23" t="inlineStr">
        <is>
          <t>Назначение земли</t>
        </is>
      </c>
      <c r="W2" s="24" t="inlineStr">
        <is>
          <t>Продать сейчас</t>
        </is>
      </c>
      <c r="X2" s="24" t="inlineStr">
        <is>
          <t>Минимальная цена</t>
        </is>
      </c>
      <c r="Y2" s="24" t="inlineStr">
        <is>
          <t>Стартовая ставка</t>
        </is>
      </c>
      <c r="Z2" s="24" t="inlineStr">
        <is>
          <t>Начало аукциона</t>
        </is>
      </c>
      <c r="AA2" s="24" t="inlineStr">
        <is>
          <t>Окончание аукциона</t>
        </is>
      </c>
      <c r="AB2" s="20" t="inlineStr">
        <is>
          <t>Тест-драйв</t>
        </is>
      </c>
      <c r="AC2" s="20" t="inlineStr">
        <is>
          <t>Сутки тест-драйва</t>
        </is>
      </c>
      <c r="AD2" s="20" t="inlineStr">
        <is>
          <t>Депозит тест-драйва</t>
        </is>
      </c>
      <c r="AE2" s="25" t="inlineStr">
        <is>
          <t>Фото, шт.</t>
        </is>
      </c>
      <c r="AF2" s="25" t="inlineStr">
        <is>
          <t>Ссылка на фото</t>
        </is>
      </c>
      <c r="AG2" s="25" t="inlineStr">
        <is>
          <t>Ссылка на видео</t>
        </is>
      </c>
      <c r="AH2" s="25" t="inlineStr">
        <is>
          <t>Описание</t>
        </is>
      </c>
      <c r="AI2" s="25" t="inlineStr">
        <is>
          <t>Удобства</t>
        </is>
      </c>
      <c r="AJ2" s="26" t="inlineStr">
        <is>
          <t>Право собственности</t>
        </is>
      </c>
      <c r="AK2" s="26" t="inlineStr">
        <is>
          <t>Нет обременений</t>
        </is>
      </c>
      <c r="AL2" s="26" t="inlineStr">
        <is>
          <t>Доп. документы</t>
        </is>
      </c>
      <c r="AM2" s="27" t="inlineStr">
        <is>
          <t>Не хватает для публикации</t>
        </is>
      </c>
      <c r="AN2" s="28" t="inlineStr">
        <is>
          <t>Желательно добрать</t>
        </is>
      </c>
      <c r="AO2" s="29" t="inlineStr">
        <is>
          <t>Готовность</t>
        </is>
      </c>
    </row>
    <row r="3" ht="22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1" t="n"/>
      <c r="K3" s="31" t="n"/>
      <c r="L3" s="31" t="n"/>
      <c r="M3" s="32" t="n"/>
      <c r="N3" s="32" t="n"/>
      <c r="O3" s="32" t="n"/>
      <c r="P3" s="32" t="n"/>
      <c r="Q3" s="32" t="n"/>
      <c r="R3" s="32" t="n"/>
      <c r="S3" s="30" t="n"/>
      <c r="T3" s="30" t="n"/>
      <c r="U3" s="30" t="n"/>
      <c r="V3" s="30" t="n"/>
      <c r="W3" s="33" t="n"/>
      <c r="X3" s="33" t="n"/>
      <c r="Y3" s="33" t="n"/>
      <c r="Z3" s="34" t="n"/>
      <c r="AA3" s="34" t="n"/>
      <c r="AB3" s="30" t="n"/>
      <c r="AC3" s="33" t="n"/>
      <c r="AD3" s="33" t="n"/>
      <c r="AE3" s="32" t="n"/>
      <c r="AF3" s="30" t="n"/>
      <c r="AG3" s="30" t="n"/>
      <c r="AH3" s="30" t="n"/>
      <c r="AI3" s="30" t="n"/>
      <c r="AJ3" s="30" t="n"/>
      <c r="AK3" s="30" t="n"/>
      <c r="AL3" s="30" t="n"/>
      <c r="AM3" s="35">
        <f>IF(NOT(COUNTA(A3:AL3)&gt;0),"",IF(TEXTJOIN(", ",TRUE,IF(B3="","Название",""),IF(C3="","Тип недвижимости",""),IF(D3="","Страна",""),IF(E3="","Город",""),IF(F3="","Улица",""),IF(I3="","Валюта",""),IF(OR(AE3="",AE3&lt;1),"Хотя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земли",""),IF(OR(X3="",X3&lt;=0),"Минимальная цена продажи",""),IF(OR(Y3="",Y3&lt;=0),"Стартовая ставка",""),IF(Z3="","Начало аукциона",""),IF(AA3="","Окончание аукциона",""),IF(AND(W3&lt;&gt;"",X3&lt;&gt;"",X3&gt;W3),"Минимальная цена выше «Продать сейчас»",""),IF(AND(W3&lt;&gt;"",X3&lt;&gt;"",X3&lt;=W3,X3&gt;W3*0.9),"Минимальная цена выше 90% от «Продать сейчас»",""),IF(AND(W3&lt;&gt;"",Y3&lt;&gt;"",Y3&gt;W3*0.3),"Стартовая ставка выше 30% от «Продать сейчас»",""),IF(AND(Z3&lt;&gt;"",AA3&lt;&gt;"",AA3&lt;EDATE(Z3,3)+15),"Аукцион короче 3 месяцев и 15 дней",""),IF(AND(AB3="Да",OR(AC3="",AC3&lt;=0)),"Цена тест-драйва за сутки",""),IF(OR(AJ3="",AJ3="Нет"),"Право собственности",""),IF(OR(AK3="",AK3="Нет"),"Справка об отсутствии обременений",""))="","",TEXTJOIN(", ",TRUE,IF(B3="","Название",""),IF(C3="","Тип недвижимости",""),IF(D3="","Страна",""),IF(E3="","Город",""),IF(F3="","Улица",""),IF(I3="","Валюта",""),IF(OR(AE3="",AE3&lt;1),"Хотя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земли",""),IF(OR(X3="",X3&lt;=0),"Минимальная цена продажи",""),IF(OR(Y3="",Y3&lt;=0),"Стартовая ставка",""),IF(Z3="","Начало аукциона",""),IF(AA3="","Окончание аукциона",""),IF(AND(W3&lt;&gt;"",X3&lt;&gt;"",X3&gt;W3),"Минимальная цена выше «Продать сейчас»",""),IF(AND(W3&lt;&gt;"",X3&lt;&gt;"",X3&lt;=W3,X3&gt;W3*0.9),"Минимальная цена выше 90% от «Продать сейчас»",""),IF(AND(W3&lt;&gt;"",Y3&lt;&gt;"",Y3&gt;W3*0.3),"Стартовая ставка выше 30% от «Продать сейчас»",""),IF(AND(Z3&lt;&gt;"",AA3&lt;&gt;"",AA3&lt;EDATE(Z3,3)+15),"Аукцион короче 3 месяцев и 15 дней",""),IF(AND(AB3="Да",OR(AC3="",AC3&lt;=0)),"Цена тест-драйва за сутки",""),IF(OR(AJ3="",AJ3="Нет"),"Право собственности",""),IF(OR(AK3="",AK3="Нет"),"Справка об отсутствии обременений",""))))</f>
        <v/>
      </c>
      <c r="AN3" s="35">
        <f>IF(NOT(COUNTA(A3:AL3)&gt;0),"",IF(TEXTJOIN(", ",TRUE,IF(AH3="","Описание",""),IF(AND(AE3&lt;&gt;"",AE3&gt;=1,AE3&lt;5),"Фото меньше 5",""),IF(AG3="","Видео",""),IF(H3="","Кадастровый номер",""),IF(AF3="","Ссылка на фото",""))="","",TEXTJOIN(", ",TRUE,IF(AH3="","Описание",""),IF(AND(AE3&lt;&gt;"",AE3&gt;=1,AE3&lt;5),"Фото меньше 5",""),IF(AG3="","Видео",""),IF(H3="","Кадастровый номер",""),IF(AF3="","Ссылка на фото",""))))</f>
        <v/>
      </c>
      <c r="AO3" s="35">
        <f>IF(NOT(COUNTA(A3:AL3)&gt;0),"",IF(AM3="","Можно публиковать","Не хватает"))</f>
        <v/>
      </c>
    </row>
    <row r="4" ht="22" customHeight="1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7" t="n"/>
      <c r="K4" s="37" t="n"/>
      <c r="L4" s="37" t="n"/>
      <c r="M4" s="38" t="n"/>
      <c r="N4" s="38" t="n"/>
      <c r="O4" s="38" t="n"/>
      <c r="P4" s="38" t="n"/>
      <c r="Q4" s="38" t="n"/>
      <c r="R4" s="38" t="n"/>
      <c r="S4" s="36" t="n"/>
      <c r="T4" s="36" t="n"/>
      <c r="U4" s="36" t="n"/>
      <c r="V4" s="36" t="n"/>
      <c r="W4" s="39" t="n"/>
      <c r="X4" s="39" t="n"/>
      <c r="Y4" s="39" t="n"/>
      <c r="Z4" s="40" t="n"/>
      <c r="AA4" s="40" t="n"/>
      <c r="AB4" s="36" t="n"/>
      <c r="AC4" s="39" t="n"/>
      <c r="AD4" s="39" t="n"/>
      <c r="AE4" s="38" t="n"/>
      <c r="AF4" s="36" t="n"/>
      <c r="AG4" s="36" t="n"/>
      <c r="AH4" s="36" t="n"/>
      <c r="AI4" s="36" t="n"/>
      <c r="AJ4" s="36" t="n"/>
      <c r="AK4" s="36" t="n"/>
      <c r="AL4" s="36" t="n"/>
      <c r="AM4" s="35">
        <f>IF(NOT(COUNTA(A4:AL4)&gt;0),"",IF(TEXTJOIN(", ",TRUE,IF(B4="","Название",""),IF(C4="","Тип недвижимости",""),IF(D4="","Страна",""),IF(E4="","Город",""),IF(F4="","Улица",""),IF(I4="","Валюта",""),IF(OR(AE4="",AE4&lt;1),"Хотя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земли",""),IF(OR(X4="",X4&lt;=0),"Минимальная цена продажи",""),IF(OR(Y4="",Y4&lt;=0),"Стартовая ставка",""),IF(Z4="","Начало аукциона",""),IF(AA4="","Окончание аукциона",""),IF(AND(W4&lt;&gt;"",X4&lt;&gt;"",X4&gt;W4),"Минимальная цена выше «Продать сейчас»",""),IF(AND(W4&lt;&gt;"",X4&lt;&gt;"",X4&lt;=W4,X4&gt;W4*0.9),"Минимальная цена выше 90% от «Продать сейчас»",""),IF(AND(W4&lt;&gt;"",Y4&lt;&gt;"",Y4&gt;W4*0.3),"Стартовая ставка выше 30% от «Продать сейчас»",""),IF(AND(Z4&lt;&gt;"",AA4&lt;&gt;"",AA4&lt;EDATE(Z4,3)+15),"Аукцион короче 3 месяцев и 15 дней",""),IF(AND(AB4="Да",OR(AC4="",AC4&lt;=0)),"Цена тест-драйва за сутки",""),IF(OR(AJ4="",AJ4="Нет"),"Право собственности",""),IF(OR(AK4="",AK4="Нет"),"Справка об отсутствии обременений",""))="","",TEXTJOIN(", ",TRUE,IF(B4="","Название",""),IF(C4="","Тип недвижимости",""),IF(D4="","Страна",""),IF(E4="","Город",""),IF(F4="","Улица",""),IF(I4="","Валюта",""),IF(OR(AE4="",AE4&lt;1),"Хотя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земли",""),IF(OR(X4="",X4&lt;=0),"Минимальная цена продажи",""),IF(OR(Y4="",Y4&lt;=0),"Стартовая ставка",""),IF(Z4="","Начало аукциона",""),IF(AA4="","Окончание аукциона",""),IF(AND(W4&lt;&gt;"",X4&lt;&gt;"",X4&gt;W4),"Минимальная цена выше «Продать сейчас»",""),IF(AND(W4&lt;&gt;"",X4&lt;&gt;"",X4&lt;=W4,X4&gt;W4*0.9),"Минимальная цена выше 90% от «Продать сейчас»",""),IF(AND(W4&lt;&gt;"",Y4&lt;&gt;"",Y4&gt;W4*0.3),"Стартовая ставка выше 30% от «Продать сейчас»",""),IF(AND(Z4&lt;&gt;"",AA4&lt;&gt;"",AA4&lt;EDATE(Z4,3)+15),"Аукцион короче 3 месяцев и 15 дней",""),IF(AND(AB4="Да",OR(AC4="",AC4&lt;=0)),"Цена тест-драйва за сутки",""),IF(OR(AJ4="",AJ4="Нет"),"Право собственности",""),IF(OR(AK4="",AK4="Нет"),"Справка об отсутствии обременений",""))))</f>
        <v/>
      </c>
      <c r="AN4" s="35">
        <f>IF(NOT(COUNTA(A4:AL4)&gt;0),"",IF(TEXTJOIN(", ",TRUE,IF(AH4="","Описание",""),IF(AND(AE4&lt;&gt;"",AE4&gt;=1,AE4&lt;5),"Фото меньше 5",""),IF(AG4="","Видео",""),IF(H4="","Кадастровый номер",""),IF(AF4="","Ссылка на фото",""))="","",TEXTJOIN(", ",TRUE,IF(AH4="","Описание",""),IF(AND(AE4&lt;&gt;"",AE4&gt;=1,AE4&lt;5),"Фото меньше 5",""),IF(AG4="","Видео",""),IF(H4="","Кадастровый номер",""),IF(AF4="","Ссылка на фото",""))))</f>
        <v/>
      </c>
      <c r="AO4" s="35">
        <f>IF(NOT(COUNTA(A4:AL4)&gt;0),"",IF(AM4="","Можно публиковать","Не хватает"))</f>
        <v/>
      </c>
    </row>
    <row r="5" ht="22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31" t="n"/>
      <c r="L5" s="31" t="n"/>
      <c r="M5" s="32" t="n"/>
      <c r="N5" s="32" t="n"/>
      <c r="O5" s="32" t="n"/>
      <c r="P5" s="32" t="n"/>
      <c r="Q5" s="32" t="n"/>
      <c r="R5" s="32" t="n"/>
      <c r="S5" s="30" t="n"/>
      <c r="T5" s="30" t="n"/>
      <c r="U5" s="30" t="n"/>
      <c r="V5" s="30" t="n"/>
      <c r="W5" s="33" t="n"/>
      <c r="X5" s="33" t="n"/>
      <c r="Y5" s="33" t="n"/>
      <c r="Z5" s="34" t="n"/>
      <c r="AA5" s="34" t="n"/>
      <c r="AB5" s="30" t="n"/>
      <c r="AC5" s="33" t="n"/>
      <c r="AD5" s="33" t="n"/>
      <c r="AE5" s="32" t="n"/>
      <c r="AF5" s="30" t="n"/>
      <c r="AG5" s="30" t="n"/>
      <c r="AH5" s="30" t="n"/>
      <c r="AI5" s="30" t="n"/>
      <c r="AJ5" s="30" t="n"/>
      <c r="AK5" s="30" t="n"/>
      <c r="AL5" s="30" t="n"/>
      <c r="AM5" s="35">
        <f>IF(NOT(COUNTA(A5:AL5)&gt;0),"",IF(TEXTJOIN(", ",TRUE,IF(B5="","Название",""),IF(C5="","Тип недвижимости",""),IF(D5="","Страна",""),IF(E5="","Город",""),IF(F5="","Улица",""),IF(I5="","Валюта",""),IF(OR(AE5="",AE5&lt;1),"Хотя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земли",""),IF(OR(X5="",X5&lt;=0),"Минимальная цена продажи",""),IF(OR(Y5="",Y5&lt;=0),"Стартовая ставка",""),IF(Z5="","Начало аукциона",""),IF(AA5="","Окончание аукциона",""),IF(AND(W5&lt;&gt;"",X5&lt;&gt;"",X5&gt;W5),"Минимальная цена выше «Продать сейчас»",""),IF(AND(W5&lt;&gt;"",X5&lt;&gt;"",X5&lt;=W5,X5&gt;W5*0.9),"Минимальная цена выше 90% от «Продать сейчас»",""),IF(AND(W5&lt;&gt;"",Y5&lt;&gt;"",Y5&gt;W5*0.3),"Стартовая ставка выше 30% от «Продать сейчас»",""),IF(AND(Z5&lt;&gt;"",AA5&lt;&gt;"",AA5&lt;EDATE(Z5,3)+15),"Аукцион короче 3 месяцев и 15 дней",""),IF(AND(AB5="Да",OR(AC5="",AC5&lt;=0)),"Цена тест-драйва за сутки",""),IF(OR(AJ5="",AJ5="Нет"),"Право собственности",""),IF(OR(AK5="",AK5="Нет"),"Справка об отсутствии обременений",""))="","",TEXTJOIN(", ",TRUE,IF(B5="","Название",""),IF(C5="","Тип недвижимости",""),IF(D5="","Страна",""),IF(E5="","Город",""),IF(F5="","Улица",""),IF(I5="","Валюта",""),IF(OR(AE5="",AE5&lt;1),"Хотя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земли",""),IF(OR(X5="",X5&lt;=0),"Минимальная цена продажи",""),IF(OR(Y5="",Y5&lt;=0),"Стартовая ставка",""),IF(Z5="","Начало аукциона",""),IF(AA5="","Окончание аукциона",""),IF(AND(W5&lt;&gt;"",X5&lt;&gt;"",X5&gt;W5),"Минимальная цена выше «Продать сейчас»",""),IF(AND(W5&lt;&gt;"",X5&lt;&gt;"",X5&lt;=W5,X5&gt;W5*0.9),"Минимальная цена выше 90% от «Продать сейчас»",""),IF(AND(W5&lt;&gt;"",Y5&lt;&gt;"",Y5&gt;W5*0.3),"Стартовая ставка выше 30% от «Продать сейчас»",""),IF(AND(Z5&lt;&gt;"",AA5&lt;&gt;"",AA5&lt;EDATE(Z5,3)+15),"Аукцион короче 3 месяцев и 15 дней",""),IF(AND(AB5="Да",OR(AC5="",AC5&lt;=0)),"Цена тест-драйва за сутки",""),IF(OR(AJ5="",AJ5="Нет"),"Право собственности",""),IF(OR(AK5="",AK5="Нет"),"Справка об отсутствии обременений",""))))</f>
        <v/>
      </c>
      <c r="AN5" s="35">
        <f>IF(NOT(COUNTA(A5:AL5)&gt;0),"",IF(TEXTJOIN(", ",TRUE,IF(AH5="","Описание",""),IF(AND(AE5&lt;&gt;"",AE5&gt;=1,AE5&lt;5),"Фото меньше 5",""),IF(AG5="","Видео",""),IF(H5="","Кадастровый номер",""),IF(AF5="","Ссылка на фото",""))="","",TEXTJOIN(", ",TRUE,IF(AH5="","Описание",""),IF(AND(AE5&lt;&gt;"",AE5&gt;=1,AE5&lt;5),"Фото меньше 5",""),IF(AG5="","Видео",""),IF(H5="","Кадастровый номер",""),IF(AF5="","Ссылка на фото",""))))</f>
        <v/>
      </c>
      <c r="AO5" s="35">
        <f>IF(NOT(COUNTA(A5:AL5)&gt;0),"",IF(AM5="","Можно публиковать","Не хватает"))</f>
        <v/>
      </c>
    </row>
    <row r="6" ht="22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7" t="n"/>
      <c r="K6" s="37" t="n"/>
      <c r="L6" s="37" t="n"/>
      <c r="M6" s="38" t="n"/>
      <c r="N6" s="38" t="n"/>
      <c r="O6" s="38" t="n"/>
      <c r="P6" s="38" t="n"/>
      <c r="Q6" s="38" t="n"/>
      <c r="R6" s="38" t="n"/>
      <c r="S6" s="36" t="n"/>
      <c r="T6" s="36" t="n"/>
      <c r="U6" s="36" t="n"/>
      <c r="V6" s="36" t="n"/>
      <c r="W6" s="39" t="n"/>
      <c r="X6" s="39" t="n"/>
      <c r="Y6" s="39" t="n"/>
      <c r="Z6" s="40" t="n"/>
      <c r="AA6" s="40" t="n"/>
      <c r="AB6" s="36" t="n"/>
      <c r="AC6" s="39" t="n"/>
      <c r="AD6" s="39" t="n"/>
      <c r="AE6" s="38" t="n"/>
      <c r="AF6" s="36" t="n"/>
      <c r="AG6" s="36" t="n"/>
      <c r="AH6" s="36" t="n"/>
      <c r="AI6" s="36" t="n"/>
      <c r="AJ6" s="36" t="n"/>
      <c r="AK6" s="36" t="n"/>
      <c r="AL6" s="36" t="n"/>
      <c r="AM6" s="35">
        <f>IF(NOT(COUNTA(A6:AL6)&gt;0),"",IF(TEXTJOIN(", ",TRUE,IF(B6="","Название",""),IF(C6="","Тип недвижимости",""),IF(D6="","Страна",""),IF(E6="","Город",""),IF(F6="","Улица",""),IF(I6="","Валюта",""),IF(OR(AE6="",AE6&lt;1),"Хотя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земли",""),IF(OR(X6="",X6&lt;=0),"Минимальная цена продажи",""),IF(OR(Y6="",Y6&lt;=0),"Стартовая ставка",""),IF(Z6="","Начало аукциона",""),IF(AA6="","Окончание аукциона",""),IF(AND(W6&lt;&gt;"",X6&lt;&gt;"",X6&gt;W6),"Минимальная цена выше «Продать сейчас»",""),IF(AND(W6&lt;&gt;"",X6&lt;&gt;"",X6&lt;=W6,X6&gt;W6*0.9),"Минимальная цена выше 90% от «Продать сейчас»",""),IF(AND(W6&lt;&gt;"",Y6&lt;&gt;"",Y6&gt;W6*0.3),"Стартовая ставка выше 30% от «Продать сейчас»",""),IF(AND(Z6&lt;&gt;"",AA6&lt;&gt;"",AA6&lt;EDATE(Z6,3)+15),"Аукцион короче 3 месяцев и 15 дней",""),IF(AND(AB6="Да",OR(AC6="",AC6&lt;=0)),"Цена тест-драйва за сутки",""),IF(OR(AJ6="",AJ6="Нет"),"Право собственности",""),IF(OR(AK6="",AK6="Нет"),"Справка об отсутствии обременений",""))="","",TEXTJOIN(", ",TRUE,IF(B6="","Название",""),IF(C6="","Тип недвижимости",""),IF(D6="","Страна",""),IF(E6="","Город",""),IF(F6="","Улица",""),IF(I6="","Валюта",""),IF(OR(AE6="",AE6&lt;1),"Хотя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земли",""),IF(OR(X6="",X6&lt;=0),"Минимальная цена продажи",""),IF(OR(Y6="",Y6&lt;=0),"Стартовая ставка",""),IF(Z6="","Начало аукциона",""),IF(AA6="","Окончание аукциона",""),IF(AND(W6&lt;&gt;"",X6&lt;&gt;"",X6&gt;W6),"Минимальная цена выше «Продать сейчас»",""),IF(AND(W6&lt;&gt;"",X6&lt;&gt;"",X6&lt;=W6,X6&gt;W6*0.9),"Минимальная цена выше 90% от «Продать сейчас»",""),IF(AND(W6&lt;&gt;"",Y6&lt;&gt;"",Y6&gt;W6*0.3),"Стартовая ставка выше 30% от «Продать сейчас»",""),IF(AND(Z6&lt;&gt;"",AA6&lt;&gt;"",AA6&lt;EDATE(Z6,3)+15),"Аукцион короче 3 месяцев и 15 дней",""),IF(AND(AB6="Да",OR(AC6="",AC6&lt;=0)),"Цена тест-драйва за сутки",""),IF(OR(AJ6="",AJ6="Нет"),"Право собственности",""),IF(OR(AK6="",AK6="Нет"),"Справка об отсутствии обременений",""))))</f>
        <v/>
      </c>
      <c r="AN6" s="35">
        <f>IF(NOT(COUNTA(A6:AL6)&gt;0),"",IF(TEXTJOIN(", ",TRUE,IF(AH6="","Описание",""),IF(AND(AE6&lt;&gt;"",AE6&gt;=1,AE6&lt;5),"Фото меньше 5",""),IF(AG6="","Видео",""),IF(H6="","Кадастровый номер",""),IF(AF6="","Ссылка на фото",""))="","",TEXTJOIN(", ",TRUE,IF(AH6="","Описание",""),IF(AND(AE6&lt;&gt;"",AE6&gt;=1,AE6&lt;5),"Фото меньше 5",""),IF(AG6="","Видео",""),IF(H6="","Кадастровый номер",""),IF(AF6="","Ссылка на фото",""))))</f>
        <v/>
      </c>
      <c r="AO6" s="35">
        <f>IF(NOT(COUNTA(A6:AL6)&gt;0),"",IF(AM6="","Можно публиковать","Не хватает"))</f>
        <v/>
      </c>
    </row>
    <row r="7" ht="22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31" t="n"/>
      <c r="L7" s="31" t="n"/>
      <c r="M7" s="32" t="n"/>
      <c r="N7" s="32" t="n"/>
      <c r="O7" s="32" t="n"/>
      <c r="P7" s="32" t="n"/>
      <c r="Q7" s="32" t="n"/>
      <c r="R7" s="32" t="n"/>
      <c r="S7" s="30" t="n"/>
      <c r="T7" s="30" t="n"/>
      <c r="U7" s="30" t="n"/>
      <c r="V7" s="30" t="n"/>
      <c r="W7" s="33" t="n"/>
      <c r="X7" s="33" t="n"/>
      <c r="Y7" s="33" t="n"/>
      <c r="Z7" s="34" t="n"/>
      <c r="AA7" s="34" t="n"/>
      <c r="AB7" s="30" t="n"/>
      <c r="AC7" s="33" t="n"/>
      <c r="AD7" s="33" t="n"/>
      <c r="AE7" s="32" t="n"/>
      <c r="AF7" s="30" t="n"/>
      <c r="AG7" s="30" t="n"/>
      <c r="AH7" s="30" t="n"/>
      <c r="AI7" s="30" t="n"/>
      <c r="AJ7" s="30" t="n"/>
      <c r="AK7" s="30" t="n"/>
      <c r="AL7" s="30" t="n"/>
      <c r="AM7" s="35">
        <f>IF(NOT(COUNTA(A7:AL7)&gt;0),"",IF(TEXTJOIN(", ",TRUE,IF(B7="","Название",""),IF(C7="","Тип недвижимости",""),IF(D7="","Страна",""),IF(E7="","Город",""),IF(F7="","Улица",""),IF(I7="","Валюта",""),IF(OR(AE7="",AE7&lt;1),"Хотя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земли",""),IF(OR(X7="",X7&lt;=0),"Минимальная цена продажи",""),IF(OR(Y7="",Y7&lt;=0),"Стартовая ставка",""),IF(Z7="","Начало аукциона",""),IF(AA7="","Окончание аукциона",""),IF(AND(W7&lt;&gt;"",X7&lt;&gt;"",X7&gt;W7),"Минимальная цена выше «Продать сейчас»",""),IF(AND(W7&lt;&gt;"",X7&lt;&gt;"",X7&lt;=W7,X7&gt;W7*0.9),"Минимальная цена выше 90% от «Продать сейчас»",""),IF(AND(W7&lt;&gt;"",Y7&lt;&gt;"",Y7&gt;W7*0.3),"Стартовая ставка выше 30% от «Продать сейчас»",""),IF(AND(Z7&lt;&gt;"",AA7&lt;&gt;"",AA7&lt;EDATE(Z7,3)+15),"Аукцион короче 3 месяцев и 15 дней",""),IF(AND(AB7="Да",OR(AC7="",AC7&lt;=0)),"Цена тест-драйва за сутки",""),IF(OR(AJ7="",AJ7="Нет"),"Право собственности",""),IF(OR(AK7="",AK7="Нет"),"Справка об отсутствии обременений",""))="","",TEXTJOIN(", ",TRUE,IF(B7="","Название",""),IF(C7="","Тип недвижимости",""),IF(D7="","Страна",""),IF(E7="","Город",""),IF(F7="","Улица",""),IF(I7="","Валюта",""),IF(OR(AE7="",AE7&lt;1),"Хотя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земли",""),IF(OR(X7="",X7&lt;=0),"Минимальная цена продажи",""),IF(OR(Y7="",Y7&lt;=0),"Стартовая ставка",""),IF(Z7="","Начало аукциона",""),IF(AA7="","Окончание аукциона",""),IF(AND(W7&lt;&gt;"",X7&lt;&gt;"",X7&gt;W7),"Минимальная цена выше «Продать сейчас»",""),IF(AND(W7&lt;&gt;"",X7&lt;&gt;"",X7&lt;=W7,X7&gt;W7*0.9),"Минимальная цена выше 90% от «Продать сейчас»",""),IF(AND(W7&lt;&gt;"",Y7&lt;&gt;"",Y7&gt;W7*0.3),"Стартовая ставка выше 30% от «Продать сейчас»",""),IF(AND(Z7&lt;&gt;"",AA7&lt;&gt;"",AA7&lt;EDATE(Z7,3)+15),"Аукцион короче 3 месяцев и 15 дней",""),IF(AND(AB7="Да",OR(AC7="",AC7&lt;=0)),"Цена тест-драйва за сутки",""),IF(OR(AJ7="",AJ7="Нет"),"Право собственности",""),IF(OR(AK7="",AK7="Нет"),"Справка об отсутствии обременений",""))))</f>
        <v/>
      </c>
      <c r="AN7" s="35">
        <f>IF(NOT(COUNTA(A7:AL7)&gt;0),"",IF(TEXTJOIN(", ",TRUE,IF(AH7="","Описание",""),IF(AND(AE7&lt;&gt;"",AE7&gt;=1,AE7&lt;5),"Фото меньше 5",""),IF(AG7="","Видео",""),IF(H7="","Кадастровый номер",""),IF(AF7="","Ссылка на фото",""))="","",TEXTJOIN(", ",TRUE,IF(AH7="","Описание",""),IF(AND(AE7&lt;&gt;"",AE7&gt;=1,AE7&lt;5),"Фото меньше 5",""),IF(AG7="","Видео",""),IF(H7="","Кадастровый номер",""),IF(AF7="","Ссылка на фото",""))))</f>
        <v/>
      </c>
      <c r="AO7" s="35">
        <f>IF(NOT(COUNTA(A7:AL7)&gt;0),"",IF(AM7="","Можно публиковать","Не хватает"))</f>
        <v/>
      </c>
    </row>
    <row r="8" ht="22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7" t="n"/>
      <c r="L8" s="37" t="n"/>
      <c r="M8" s="38" t="n"/>
      <c r="N8" s="38" t="n"/>
      <c r="O8" s="38" t="n"/>
      <c r="P8" s="38" t="n"/>
      <c r="Q8" s="38" t="n"/>
      <c r="R8" s="38" t="n"/>
      <c r="S8" s="36" t="n"/>
      <c r="T8" s="36" t="n"/>
      <c r="U8" s="36" t="n"/>
      <c r="V8" s="36" t="n"/>
      <c r="W8" s="39" t="n"/>
      <c r="X8" s="39" t="n"/>
      <c r="Y8" s="39" t="n"/>
      <c r="Z8" s="40" t="n"/>
      <c r="AA8" s="40" t="n"/>
      <c r="AB8" s="36" t="n"/>
      <c r="AC8" s="39" t="n"/>
      <c r="AD8" s="39" t="n"/>
      <c r="AE8" s="38" t="n"/>
      <c r="AF8" s="36" t="n"/>
      <c r="AG8" s="36" t="n"/>
      <c r="AH8" s="36" t="n"/>
      <c r="AI8" s="36" t="n"/>
      <c r="AJ8" s="36" t="n"/>
      <c r="AK8" s="36" t="n"/>
      <c r="AL8" s="36" t="n"/>
      <c r="AM8" s="35">
        <f>IF(NOT(COUNTA(A8:AL8)&gt;0),"",IF(TEXTJOIN(", ",TRUE,IF(B8="","Название",""),IF(C8="","Тип недвижимости",""),IF(D8="","Страна",""),IF(E8="","Город",""),IF(F8="","Улица",""),IF(I8="","Валюта",""),IF(OR(AE8="",AE8&lt;1),"Хотя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земли",""),IF(OR(X8="",X8&lt;=0),"Минимальная цена продажи",""),IF(OR(Y8="",Y8&lt;=0),"Стартовая ставка",""),IF(Z8="","Начало аукциона",""),IF(AA8="","Окончание аукциона",""),IF(AND(W8&lt;&gt;"",X8&lt;&gt;"",X8&gt;W8),"Минимальная цена выше «Продать сейчас»",""),IF(AND(W8&lt;&gt;"",X8&lt;&gt;"",X8&lt;=W8,X8&gt;W8*0.9),"Минимальная цена выше 90% от «Продать сейчас»",""),IF(AND(W8&lt;&gt;"",Y8&lt;&gt;"",Y8&gt;W8*0.3),"Стартовая ставка выше 30% от «Продать сейчас»",""),IF(AND(Z8&lt;&gt;"",AA8&lt;&gt;"",AA8&lt;EDATE(Z8,3)+15),"Аукцион короче 3 месяцев и 15 дней",""),IF(AND(AB8="Да",OR(AC8="",AC8&lt;=0)),"Цена тест-драйва за сутки",""),IF(OR(AJ8="",AJ8="Нет"),"Право собственности",""),IF(OR(AK8="",AK8="Нет"),"Справка об отсутствии обременений",""))="","",TEXTJOIN(", ",TRUE,IF(B8="","Название",""),IF(C8="","Тип недвижимости",""),IF(D8="","Страна",""),IF(E8="","Город",""),IF(F8="","Улица",""),IF(I8="","Валюта",""),IF(OR(AE8="",AE8&lt;1),"Хотя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земли",""),IF(OR(X8="",X8&lt;=0),"Минимальная цена продажи",""),IF(OR(Y8="",Y8&lt;=0),"Стартовая ставка",""),IF(Z8="","Начало аукциона",""),IF(AA8="","Окончание аукциона",""),IF(AND(W8&lt;&gt;"",X8&lt;&gt;"",X8&gt;W8),"Минимальная цена выше «Продать сейчас»",""),IF(AND(W8&lt;&gt;"",X8&lt;&gt;"",X8&lt;=W8,X8&gt;W8*0.9),"Минимальная цена выше 90% от «Продать сейчас»",""),IF(AND(W8&lt;&gt;"",Y8&lt;&gt;"",Y8&gt;W8*0.3),"Стартовая ставка выше 30% от «Продать сейчас»",""),IF(AND(Z8&lt;&gt;"",AA8&lt;&gt;"",AA8&lt;EDATE(Z8,3)+15),"Аукцион короче 3 месяцев и 15 дней",""),IF(AND(AB8="Да",OR(AC8="",AC8&lt;=0)),"Цена тест-драйва за сутки",""),IF(OR(AJ8="",AJ8="Нет"),"Право собственности",""),IF(OR(AK8="",AK8="Нет"),"Справка об отсутствии обременений",""))))</f>
        <v/>
      </c>
      <c r="AN8" s="35">
        <f>IF(NOT(COUNTA(A8:AL8)&gt;0),"",IF(TEXTJOIN(", ",TRUE,IF(AH8="","Описание",""),IF(AND(AE8&lt;&gt;"",AE8&gt;=1,AE8&lt;5),"Фото меньше 5",""),IF(AG8="","Видео",""),IF(H8="","Кадастровый номер",""),IF(AF8="","Ссылка на фото",""))="","",TEXTJOIN(", ",TRUE,IF(AH8="","Описание",""),IF(AND(AE8&lt;&gt;"",AE8&gt;=1,AE8&lt;5),"Фото меньше 5",""),IF(AG8="","Видео",""),IF(H8="","Кадастровый номер",""),IF(AF8="","Ссылка на фото",""))))</f>
        <v/>
      </c>
      <c r="AO8" s="35">
        <f>IF(NOT(COUNTA(A8:AL8)&gt;0),"",IF(AM8="","Можно публиковать","Не хватает"))</f>
        <v/>
      </c>
    </row>
    <row r="9" ht="22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31" t="n"/>
      <c r="L9" s="31" t="n"/>
      <c r="M9" s="32" t="n"/>
      <c r="N9" s="32" t="n"/>
      <c r="O9" s="32" t="n"/>
      <c r="P9" s="32" t="n"/>
      <c r="Q9" s="32" t="n"/>
      <c r="R9" s="32" t="n"/>
      <c r="S9" s="30" t="n"/>
      <c r="T9" s="30" t="n"/>
      <c r="U9" s="30" t="n"/>
      <c r="V9" s="30" t="n"/>
      <c r="W9" s="33" t="n"/>
      <c r="X9" s="33" t="n"/>
      <c r="Y9" s="33" t="n"/>
      <c r="Z9" s="34" t="n"/>
      <c r="AA9" s="34" t="n"/>
      <c r="AB9" s="30" t="n"/>
      <c r="AC9" s="33" t="n"/>
      <c r="AD9" s="33" t="n"/>
      <c r="AE9" s="32" t="n"/>
      <c r="AF9" s="30" t="n"/>
      <c r="AG9" s="30" t="n"/>
      <c r="AH9" s="30" t="n"/>
      <c r="AI9" s="30" t="n"/>
      <c r="AJ9" s="30" t="n"/>
      <c r="AK9" s="30" t="n"/>
      <c r="AL9" s="30" t="n"/>
      <c r="AM9" s="35">
        <f>IF(NOT(COUNTA(A9:AL9)&gt;0),"",IF(TEXTJOIN(", ",TRUE,IF(B9="","Название",""),IF(C9="","Тип недвижимости",""),IF(D9="","Страна",""),IF(E9="","Город",""),IF(F9="","Улица",""),IF(I9="","Валюта",""),IF(OR(AE9="",AE9&lt;1),"Хотя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земли",""),IF(OR(X9="",X9&lt;=0),"Минимальная цена продажи",""),IF(OR(Y9="",Y9&lt;=0),"Стартовая ставка",""),IF(Z9="","Начало аукциона",""),IF(AA9="","Окончание аукциона",""),IF(AND(W9&lt;&gt;"",X9&lt;&gt;"",X9&gt;W9),"Минимальная цена выше «Продать сейчас»",""),IF(AND(W9&lt;&gt;"",X9&lt;&gt;"",X9&lt;=W9,X9&gt;W9*0.9),"Минимальная цена выше 90% от «Продать сейчас»",""),IF(AND(W9&lt;&gt;"",Y9&lt;&gt;"",Y9&gt;W9*0.3),"Стартовая ставка выше 30% от «Продать сейчас»",""),IF(AND(Z9&lt;&gt;"",AA9&lt;&gt;"",AA9&lt;EDATE(Z9,3)+15),"Аукцион короче 3 месяцев и 15 дней",""),IF(AND(AB9="Да",OR(AC9="",AC9&lt;=0)),"Цена тест-драйва за сутки",""),IF(OR(AJ9="",AJ9="Нет"),"Право собственности",""),IF(OR(AK9="",AK9="Нет"),"Справка об отсутствии обременений",""))="","",TEXTJOIN(", ",TRUE,IF(B9="","Название",""),IF(C9="","Тип недвижимости",""),IF(D9="","Страна",""),IF(E9="","Город",""),IF(F9="","Улица",""),IF(I9="","Валюта",""),IF(OR(AE9="",AE9&lt;1),"Хотя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земли",""),IF(OR(X9="",X9&lt;=0),"Минимальная цена продажи",""),IF(OR(Y9="",Y9&lt;=0),"Стартовая ставка",""),IF(Z9="","Начало аукциона",""),IF(AA9="","Окончание аукциона",""),IF(AND(W9&lt;&gt;"",X9&lt;&gt;"",X9&gt;W9),"Минимальная цена выше «Продать сейчас»",""),IF(AND(W9&lt;&gt;"",X9&lt;&gt;"",X9&lt;=W9,X9&gt;W9*0.9),"Минимальная цена выше 90% от «Продать сейчас»",""),IF(AND(W9&lt;&gt;"",Y9&lt;&gt;"",Y9&gt;W9*0.3),"Стартовая ставка выше 30% от «Продать сейчас»",""),IF(AND(Z9&lt;&gt;"",AA9&lt;&gt;"",AA9&lt;EDATE(Z9,3)+15),"Аукцион короче 3 месяцев и 15 дней",""),IF(AND(AB9="Да",OR(AC9="",AC9&lt;=0)),"Цена тест-драйва за сутки",""),IF(OR(AJ9="",AJ9="Нет"),"Право собственности",""),IF(OR(AK9="",AK9="Нет"),"Справка об отсутствии обременений",""))))</f>
        <v/>
      </c>
      <c r="AN9" s="35">
        <f>IF(NOT(COUNTA(A9:AL9)&gt;0),"",IF(TEXTJOIN(", ",TRUE,IF(AH9="","Описание",""),IF(AND(AE9&lt;&gt;"",AE9&gt;=1,AE9&lt;5),"Фото меньше 5",""),IF(AG9="","Видео",""),IF(H9="","Кадастровый номер",""),IF(AF9="","Ссылка на фото",""))="","",TEXTJOIN(", ",TRUE,IF(AH9="","Описание",""),IF(AND(AE9&lt;&gt;"",AE9&gt;=1,AE9&lt;5),"Фото меньше 5",""),IF(AG9="","Видео",""),IF(H9="","Кадастровый номер",""),IF(AF9="","Ссылка на фото",""))))</f>
        <v/>
      </c>
      <c r="AO9" s="35">
        <f>IF(NOT(COUNTA(A9:AL9)&gt;0),"",IF(AM9="","Можно публиковать","Не хватает"))</f>
        <v/>
      </c>
    </row>
    <row r="10" ht="22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7" t="n"/>
      <c r="L10" s="37" t="n"/>
      <c r="M10" s="38" t="n"/>
      <c r="N10" s="38" t="n"/>
      <c r="O10" s="38" t="n"/>
      <c r="P10" s="38" t="n"/>
      <c r="Q10" s="38" t="n"/>
      <c r="R10" s="38" t="n"/>
      <c r="S10" s="36" t="n"/>
      <c r="T10" s="36" t="n"/>
      <c r="U10" s="36" t="n"/>
      <c r="V10" s="36" t="n"/>
      <c r="W10" s="39" t="n"/>
      <c r="X10" s="39" t="n"/>
      <c r="Y10" s="39" t="n"/>
      <c r="Z10" s="40" t="n"/>
      <c r="AA10" s="40" t="n"/>
      <c r="AB10" s="36" t="n"/>
      <c r="AC10" s="39" t="n"/>
      <c r="AD10" s="39" t="n"/>
      <c r="AE10" s="38" t="n"/>
      <c r="AF10" s="36" t="n"/>
      <c r="AG10" s="36" t="n"/>
      <c r="AH10" s="36" t="n"/>
      <c r="AI10" s="36" t="n"/>
      <c r="AJ10" s="36" t="n"/>
      <c r="AK10" s="36" t="n"/>
      <c r="AL10" s="36" t="n"/>
      <c r="AM10" s="35">
        <f>IF(NOT(COUNTA(A10:AL10)&gt;0),"",IF(TEXTJOIN(", ",TRUE,IF(B10="","Название",""),IF(C10="","Тип недвижимости",""),IF(D10="","Страна",""),IF(E10="","Город",""),IF(F10="","Улица",""),IF(I10="","Валюта",""),IF(OR(AE10="",AE10&lt;1),"Хотя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земли",""),IF(OR(X10="",X10&lt;=0),"Минимальная цена продажи",""),IF(OR(Y10="",Y10&lt;=0),"Стартовая ставка",""),IF(Z10="","Начало аукциона",""),IF(AA10="","Окончание аукциона",""),IF(AND(W10&lt;&gt;"",X10&lt;&gt;"",X10&gt;W10),"Минимальная цена выше «Продать сейчас»",""),IF(AND(W10&lt;&gt;"",X10&lt;&gt;"",X10&lt;=W10,X10&gt;W10*0.9),"Минимальная цена выше 90% от «Продать сейчас»",""),IF(AND(W10&lt;&gt;"",Y10&lt;&gt;"",Y10&gt;W10*0.3),"Стартовая ставка выше 30% от «Продать сейчас»",""),IF(AND(Z10&lt;&gt;"",AA10&lt;&gt;"",AA10&lt;EDATE(Z10,3)+15),"Аукцион короче 3 месяцев и 15 дней",""),IF(AND(AB10="Да",OR(AC10="",AC10&lt;=0)),"Цена тест-драйва за сутки",""),IF(OR(AJ10="",AJ10="Нет"),"Право собственности",""),IF(OR(AK10="",AK10="Нет"),"Справка об отсутствии обременений",""))="","",TEXTJOIN(", ",TRUE,IF(B10="","Название",""),IF(C10="","Тип недвижимости",""),IF(D10="","Страна",""),IF(E10="","Город",""),IF(F10="","Улица",""),IF(I10="","Валюта",""),IF(OR(AE10="",AE10&lt;1),"Хотя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земли",""),IF(OR(X10="",X10&lt;=0),"Минимальная цена продажи",""),IF(OR(Y10="",Y10&lt;=0),"Стартовая ставка",""),IF(Z10="","Начало аукциона",""),IF(AA10="","Окончание аукциона",""),IF(AND(W10&lt;&gt;"",X10&lt;&gt;"",X10&gt;W10),"Минимальная цена выше «Продать сейчас»",""),IF(AND(W10&lt;&gt;"",X10&lt;&gt;"",X10&lt;=W10,X10&gt;W10*0.9),"Минимальная цена выше 90% от «Продать сейчас»",""),IF(AND(W10&lt;&gt;"",Y10&lt;&gt;"",Y10&gt;W10*0.3),"Стартовая ставка выше 30% от «Продать сейчас»",""),IF(AND(Z10&lt;&gt;"",AA10&lt;&gt;"",AA10&lt;EDATE(Z10,3)+15),"Аукцион короче 3 месяцев и 15 дней",""),IF(AND(AB10="Да",OR(AC10="",AC10&lt;=0)),"Цена тест-драйва за сутки",""),IF(OR(AJ10="",AJ10="Нет"),"Право собственности",""),IF(OR(AK10="",AK10="Нет"),"Справка об отсутствии обременений",""))))</f>
        <v/>
      </c>
      <c r="AN10" s="35">
        <f>IF(NOT(COUNTA(A10:AL10)&gt;0),"",IF(TEXTJOIN(", ",TRUE,IF(AH10="","Описание",""),IF(AND(AE10&lt;&gt;"",AE10&gt;=1,AE10&lt;5),"Фото меньше 5",""),IF(AG10="","Видео",""),IF(H10="","Кадастровый номер",""),IF(AF10="","Ссылка на фото",""))="","",TEXTJOIN(", ",TRUE,IF(AH10="","Описание",""),IF(AND(AE10&lt;&gt;"",AE10&gt;=1,AE10&lt;5),"Фото меньше 5",""),IF(AG10="","Видео",""),IF(H10="","Кадастровый номер",""),IF(AF10="","Ссылка на фото",""))))</f>
        <v/>
      </c>
      <c r="AO10" s="35">
        <f>IF(NOT(COUNTA(A10:AL10)&gt;0),"",IF(AM10="","Можно публиковать","Не хватает"))</f>
        <v/>
      </c>
    </row>
    <row r="11" ht="22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 t="n"/>
      <c r="K11" s="31" t="n"/>
      <c r="L11" s="31" t="n"/>
      <c r="M11" s="32" t="n"/>
      <c r="N11" s="32" t="n"/>
      <c r="O11" s="32" t="n"/>
      <c r="P11" s="32" t="n"/>
      <c r="Q11" s="32" t="n"/>
      <c r="R11" s="32" t="n"/>
      <c r="S11" s="30" t="n"/>
      <c r="T11" s="30" t="n"/>
      <c r="U11" s="30" t="n"/>
      <c r="V11" s="30" t="n"/>
      <c r="W11" s="33" t="n"/>
      <c r="X11" s="33" t="n"/>
      <c r="Y11" s="33" t="n"/>
      <c r="Z11" s="34" t="n"/>
      <c r="AA11" s="34" t="n"/>
      <c r="AB11" s="30" t="n"/>
      <c r="AC11" s="33" t="n"/>
      <c r="AD11" s="33" t="n"/>
      <c r="AE11" s="32" t="n"/>
      <c r="AF11" s="30" t="n"/>
      <c r="AG11" s="30" t="n"/>
      <c r="AH11" s="30" t="n"/>
      <c r="AI11" s="30" t="n"/>
      <c r="AJ11" s="30" t="n"/>
      <c r="AK11" s="30" t="n"/>
      <c r="AL11" s="30" t="n"/>
      <c r="AM11" s="35">
        <f>IF(NOT(COUNTA(A11:AL11)&gt;0),"",IF(TEXTJOIN(", ",TRUE,IF(B11="","Название",""),IF(C11="","Тип недвижимости",""),IF(D11="","Страна",""),IF(E11="","Город",""),IF(F11="","Улица",""),IF(I11="","Валюта",""),IF(OR(AE11="",AE11&lt;1),"Хотя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земли",""),IF(OR(X11="",X11&lt;=0),"Минимальная цена продажи",""),IF(OR(Y11="",Y11&lt;=0),"Стартовая ставка",""),IF(Z11="","Начало аукциона",""),IF(AA11="","Окончание аукциона",""),IF(AND(W11&lt;&gt;"",X11&lt;&gt;"",X11&gt;W11),"Минимальная цена выше «Продать сейчас»",""),IF(AND(W11&lt;&gt;"",X11&lt;&gt;"",X11&lt;=W11,X11&gt;W11*0.9),"Минимальная цена выше 90% от «Продать сейчас»",""),IF(AND(W11&lt;&gt;"",Y11&lt;&gt;"",Y11&gt;W11*0.3),"Стартовая ставка выше 30% от «Продать сейчас»",""),IF(AND(Z11&lt;&gt;"",AA11&lt;&gt;"",AA11&lt;EDATE(Z11,3)+15),"Аукцион короче 3 месяцев и 15 дней",""),IF(AND(AB11="Да",OR(AC11="",AC11&lt;=0)),"Цена тест-драйва за сутки",""),IF(OR(AJ11="",AJ11="Нет"),"Право собственности",""),IF(OR(AK11="",AK11="Нет"),"Справка об отсутствии обременений",""))="","",TEXTJOIN(", ",TRUE,IF(B11="","Название",""),IF(C11="","Тип недвижимости",""),IF(D11="","Страна",""),IF(E11="","Город",""),IF(F11="","Улица",""),IF(I11="","Валюта",""),IF(OR(AE11="",AE11&lt;1),"Хотя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земли",""),IF(OR(X11="",X11&lt;=0),"Минимальная цена продажи",""),IF(OR(Y11="",Y11&lt;=0),"Стартовая ставка",""),IF(Z11="","Начало аукциона",""),IF(AA11="","Окончание аукциона",""),IF(AND(W11&lt;&gt;"",X11&lt;&gt;"",X11&gt;W11),"Минимальная цена выше «Продать сейчас»",""),IF(AND(W11&lt;&gt;"",X11&lt;&gt;"",X11&lt;=W11,X11&gt;W11*0.9),"Минимальная цена выше 90% от «Продать сейчас»",""),IF(AND(W11&lt;&gt;"",Y11&lt;&gt;"",Y11&gt;W11*0.3),"Стартовая ставка выше 30% от «Продать сейчас»",""),IF(AND(Z11&lt;&gt;"",AA11&lt;&gt;"",AA11&lt;EDATE(Z11,3)+15),"Аукцион короче 3 месяцев и 15 дней",""),IF(AND(AB11="Да",OR(AC11="",AC11&lt;=0)),"Цена тест-драйва за сутки",""),IF(OR(AJ11="",AJ11="Нет"),"Право собственности",""),IF(OR(AK11="",AK11="Нет"),"Справка об отсутствии обременений",""))))</f>
        <v/>
      </c>
      <c r="AN11" s="35">
        <f>IF(NOT(COUNTA(A11:AL11)&gt;0),"",IF(TEXTJOIN(", ",TRUE,IF(AH11="","Описание",""),IF(AND(AE11&lt;&gt;"",AE11&gt;=1,AE11&lt;5),"Фото меньше 5",""),IF(AG11="","Видео",""),IF(H11="","Кадастровый номер",""),IF(AF11="","Ссылка на фото",""))="","",TEXTJOIN(", ",TRUE,IF(AH11="","Описание",""),IF(AND(AE11&lt;&gt;"",AE11&gt;=1,AE11&lt;5),"Фото меньше 5",""),IF(AG11="","Видео",""),IF(H11="","Кадастровый номер",""),IF(AF11="","Ссылка на фото",""))))</f>
        <v/>
      </c>
      <c r="AO11" s="35">
        <f>IF(NOT(COUNTA(A11:AL11)&gt;0),"",IF(AM11="","Можно публиковать","Не хватает"))</f>
        <v/>
      </c>
    </row>
    <row r="12" ht="22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7" t="n"/>
      <c r="K12" s="37" t="n"/>
      <c r="L12" s="37" t="n"/>
      <c r="M12" s="38" t="n"/>
      <c r="N12" s="38" t="n"/>
      <c r="O12" s="38" t="n"/>
      <c r="P12" s="38" t="n"/>
      <c r="Q12" s="38" t="n"/>
      <c r="R12" s="38" t="n"/>
      <c r="S12" s="36" t="n"/>
      <c r="T12" s="36" t="n"/>
      <c r="U12" s="36" t="n"/>
      <c r="V12" s="36" t="n"/>
      <c r="W12" s="39" t="n"/>
      <c r="X12" s="39" t="n"/>
      <c r="Y12" s="39" t="n"/>
      <c r="Z12" s="40" t="n"/>
      <c r="AA12" s="40" t="n"/>
      <c r="AB12" s="36" t="n"/>
      <c r="AC12" s="39" t="n"/>
      <c r="AD12" s="39" t="n"/>
      <c r="AE12" s="38" t="n"/>
      <c r="AF12" s="36" t="n"/>
      <c r="AG12" s="36" t="n"/>
      <c r="AH12" s="36" t="n"/>
      <c r="AI12" s="36" t="n"/>
      <c r="AJ12" s="36" t="n"/>
      <c r="AK12" s="36" t="n"/>
      <c r="AL12" s="36" t="n"/>
      <c r="AM12" s="35">
        <f>IF(NOT(COUNTA(A12:AL12)&gt;0),"",IF(TEXTJOIN(", ",TRUE,IF(B12="","Название",""),IF(C12="","Тип недвижимости",""),IF(D12="","Страна",""),IF(E12="","Город",""),IF(F12="","Улица",""),IF(I12="","Валюта",""),IF(OR(AE12="",AE12&lt;1),"Хотя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земли",""),IF(OR(X12="",X12&lt;=0),"Минимальная цена продажи",""),IF(OR(Y12="",Y12&lt;=0),"Стартовая ставка",""),IF(Z12="","Начало аукциона",""),IF(AA12="","Окончание аукциона",""),IF(AND(W12&lt;&gt;"",X12&lt;&gt;"",X12&gt;W12),"Минимальная цена выше «Продать сейчас»",""),IF(AND(W12&lt;&gt;"",X12&lt;&gt;"",X12&lt;=W12,X12&gt;W12*0.9),"Минимальная цена выше 90% от «Продать сейчас»",""),IF(AND(W12&lt;&gt;"",Y12&lt;&gt;"",Y12&gt;W12*0.3),"Стартовая ставка выше 30% от «Продать сейчас»",""),IF(AND(Z12&lt;&gt;"",AA12&lt;&gt;"",AA12&lt;EDATE(Z12,3)+15),"Аукцион короче 3 месяцев и 15 дней",""),IF(AND(AB12="Да",OR(AC12="",AC12&lt;=0)),"Цена тест-драйва за сутки",""),IF(OR(AJ12="",AJ12="Нет"),"Право собственности",""),IF(OR(AK12="",AK12="Нет"),"Справка об отсутствии обременений",""))="","",TEXTJOIN(", ",TRUE,IF(B12="","Название",""),IF(C12="","Тип недвижимости",""),IF(D12="","Страна",""),IF(E12="","Город",""),IF(F12="","Улица",""),IF(I12="","Валюта",""),IF(OR(AE12="",AE12&lt;1),"Хотя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земли",""),IF(OR(X12="",X12&lt;=0),"Минимальная цена продажи",""),IF(OR(Y12="",Y12&lt;=0),"Стартовая ставка",""),IF(Z12="","Начало аукциона",""),IF(AA12="","Окончание аукциона",""),IF(AND(W12&lt;&gt;"",X12&lt;&gt;"",X12&gt;W12),"Минимальная цена выше «Продать сейчас»",""),IF(AND(W12&lt;&gt;"",X12&lt;&gt;"",X12&lt;=W12,X12&gt;W12*0.9),"Минимальная цена выше 90% от «Продать сейчас»",""),IF(AND(W12&lt;&gt;"",Y12&lt;&gt;"",Y12&gt;W12*0.3),"Стартовая ставка выше 30% от «Продать сейчас»",""),IF(AND(Z12&lt;&gt;"",AA12&lt;&gt;"",AA12&lt;EDATE(Z12,3)+15),"Аукцион короче 3 месяцев и 15 дней",""),IF(AND(AB12="Да",OR(AC12="",AC12&lt;=0)),"Цена тест-драйва за сутки",""),IF(OR(AJ12="",AJ12="Нет"),"Право собственности",""),IF(OR(AK12="",AK12="Нет"),"Справка об отсутствии обременений",""))))</f>
        <v/>
      </c>
      <c r="AN12" s="35">
        <f>IF(NOT(COUNTA(A12:AL12)&gt;0),"",IF(TEXTJOIN(", ",TRUE,IF(AH12="","Описание",""),IF(AND(AE12&lt;&gt;"",AE12&gt;=1,AE12&lt;5),"Фото меньше 5",""),IF(AG12="","Видео",""),IF(H12="","Кадастровый номер",""),IF(AF12="","Ссылка на фото",""))="","",TEXTJOIN(", ",TRUE,IF(AH12="","Описание",""),IF(AND(AE12&lt;&gt;"",AE12&gt;=1,AE12&lt;5),"Фото меньше 5",""),IF(AG12="","Видео",""),IF(H12="","Кадастровый номер",""),IF(AF12="","Ссылка на фото",""))))</f>
        <v/>
      </c>
      <c r="AO12" s="35">
        <f>IF(NOT(COUNTA(A12:AL12)&gt;0),"",IF(AM12="","Можно публиковать","Не хватает"))</f>
        <v/>
      </c>
    </row>
    <row r="13" ht="22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31" t="n"/>
      <c r="L13" s="31" t="n"/>
      <c r="M13" s="32" t="n"/>
      <c r="N13" s="32" t="n"/>
      <c r="O13" s="32" t="n"/>
      <c r="P13" s="32" t="n"/>
      <c r="Q13" s="32" t="n"/>
      <c r="R13" s="32" t="n"/>
      <c r="S13" s="30" t="n"/>
      <c r="T13" s="30" t="n"/>
      <c r="U13" s="30" t="n"/>
      <c r="V13" s="30" t="n"/>
      <c r="W13" s="33" t="n"/>
      <c r="X13" s="33" t="n"/>
      <c r="Y13" s="33" t="n"/>
      <c r="Z13" s="34" t="n"/>
      <c r="AA13" s="34" t="n"/>
      <c r="AB13" s="30" t="n"/>
      <c r="AC13" s="33" t="n"/>
      <c r="AD13" s="33" t="n"/>
      <c r="AE13" s="32" t="n"/>
      <c r="AF13" s="30" t="n"/>
      <c r="AG13" s="30" t="n"/>
      <c r="AH13" s="30" t="n"/>
      <c r="AI13" s="30" t="n"/>
      <c r="AJ13" s="30" t="n"/>
      <c r="AK13" s="30" t="n"/>
      <c r="AL13" s="30" t="n"/>
      <c r="AM13" s="35">
        <f>IF(NOT(COUNTA(A13:AL13)&gt;0),"",IF(TEXTJOIN(", ",TRUE,IF(B13="","Название",""),IF(C13="","Тип недвижимости",""),IF(D13="","Страна",""),IF(E13="","Город",""),IF(F13="","Улица",""),IF(I13="","Валюта",""),IF(OR(AE13="",AE13&lt;1),"Хотя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земли",""),IF(OR(X13="",X13&lt;=0),"Минимальная цена продажи",""),IF(OR(Y13="",Y13&lt;=0),"Стартовая ставка",""),IF(Z13="","Начало аукциона",""),IF(AA13="","Окончание аукциона",""),IF(AND(W13&lt;&gt;"",X13&lt;&gt;"",X13&gt;W13),"Минимальная цена выше «Продать сейчас»",""),IF(AND(W13&lt;&gt;"",X13&lt;&gt;"",X13&lt;=W13,X13&gt;W13*0.9),"Минимальная цена выше 90% от «Продать сейчас»",""),IF(AND(W13&lt;&gt;"",Y13&lt;&gt;"",Y13&gt;W13*0.3),"Стартовая ставка выше 30% от «Продать сейчас»",""),IF(AND(Z13&lt;&gt;"",AA13&lt;&gt;"",AA13&lt;EDATE(Z13,3)+15),"Аукцион короче 3 месяцев и 15 дней",""),IF(AND(AB13="Да",OR(AC13="",AC13&lt;=0)),"Цена тест-драйва за сутки",""),IF(OR(AJ13="",AJ13="Нет"),"Право собственности",""),IF(OR(AK13="",AK13="Нет"),"Справка об отсутствии обременений",""))="","",TEXTJOIN(", ",TRUE,IF(B13="","Название",""),IF(C13="","Тип недвижимости",""),IF(D13="","Страна",""),IF(E13="","Город",""),IF(F13="","Улица",""),IF(I13="","Валюта",""),IF(OR(AE13="",AE13&lt;1),"Хотя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земли",""),IF(OR(X13="",X13&lt;=0),"Минимальная цена продажи",""),IF(OR(Y13="",Y13&lt;=0),"Стартовая ставка",""),IF(Z13="","Начало аукциона",""),IF(AA13="","Окончание аукциона",""),IF(AND(W13&lt;&gt;"",X13&lt;&gt;"",X13&gt;W13),"Минимальная цена выше «Продать сейчас»",""),IF(AND(W13&lt;&gt;"",X13&lt;&gt;"",X13&lt;=W13,X13&gt;W13*0.9),"Минимальная цена выше 90% от «Продать сейчас»",""),IF(AND(W13&lt;&gt;"",Y13&lt;&gt;"",Y13&gt;W13*0.3),"Стартовая ставка выше 30% от «Продать сейчас»",""),IF(AND(Z13&lt;&gt;"",AA13&lt;&gt;"",AA13&lt;EDATE(Z13,3)+15),"Аукцион короче 3 месяцев и 15 дней",""),IF(AND(AB13="Да",OR(AC13="",AC13&lt;=0)),"Цена тест-драйва за сутки",""),IF(OR(AJ13="",AJ13="Нет"),"Право собственности",""),IF(OR(AK13="",AK13="Нет"),"Справка об отсутствии обременений",""))))</f>
        <v/>
      </c>
      <c r="AN13" s="35">
        <f>IF(NOT(COUNTA(A13:AL13)&gt;0),"",IF(TEXTJOIN(", ",TRUE,IF(AH13="","Описание",""),IF(AND(AE13&lt;&gt;"",AE13&gt;=1,AE13&lt;5),"Фото меньше 5",""),IF(AG13="","Видео",""),IF(H13="","Кадастровый номер",""),IF(AF13="","Ссылка на фото",""))="","",TEXTJOIN(", ",TRUE,IF(AH13="","Описание",""),IF(AND(AE13&lt;&gt;"",AE13&gt;=1,AE13&lt;5),"Фото меньше 5",""),IF(AG13="","Видео",""),IF(H13="","Кадастровый номер",""),IF(AF13="","Ссылка на фото",""))))</f>
        <v/>
      </c>
      <c r="AO13" s="35">
        <f>IF(NOT(COUNTA(A13:AL13)&gt;0),"",IF(AM13="","Можно публиковать","Не хватает"))</f>
        <v/>
      </c>
    </row>
    <row r="14" ht="22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7" t="n"/>
      <c r="K14" s="37" t="n"/>
      <c r="L14" s="37" t="n"/>
      <c r="M14" s="38" t="n"/>
      <c r="N14" s="38" t="n"/>
      <c r="O14" s="38" t="n"/>
      <c r="P14" s="38" t="n"/>
      <c r="Q14" s="38" t="n"/>
      <c r="R14" s="38" t="n"/>
      <c r="S14" s="36" t="n"/>
      <c r="T14" s="36" t="n"/>
      <c r="U14" s="36" t="n"/>
      <c r="V14" s="36" t="n"/>
      <c r="W14" s="39" t="n"/>
      <c r="X14" s="39" t="n"/>
      <c r="Y14" s="39" t="n"/>
      <c r="Z14" s="40" t="n"/>
      <c r="AA14" s="40" t="n"/>
      <c r="AB14" s="36" t="n"/>
      <c r="AC14" s="39" t="n"/>
      <c r="AD14" s="39" t="n"/>
      <c r="AE14" s="38" t="n"/>
      <c r="AF14" s="36" t="n"/>
      <c r="AG14" s="36" t="n"/>
      <c r="AH14" s="36" t="n"/>
      <c r="AI14" s="36" t="n"/>
      <c r="AJ14" s="36" t="n"/>
      <c r="AK14" s="36" t="n"/>
      <c r="AL14" s="36" t="n"/>
      <c r="AM14" s="35">
        <f>IF(NOT(COUNTA(A14:AL14)&gt;0),"",IF(TEXTJOIN(", ",TRUE,IF(B14="","Название",""),IF(C14="","Тип недвижимости",""),IF(D14="","Страна",""),IF(E14="","Город",""),IF(F14="","Улица",""),IF(I14="","Валюта",""),IF(OR(AE14="",AE14&lt;1),"Хотя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земли",""),IF(OR(X14="",X14&lt;=0),"Минимальная цена продажи",""),IF(OR(Y14="",Y14&lt;=0),"Стартовая ставка",""),IF(Z14="","Начало аукциона",""),IF(AA14="","Окончание аукциона",""),IF(AND(W14&lt;&gt;"",X14&lt;&gt;"",X14&gt;W14),"Минимальная цена выше «Продать сейчас»",""),IF(AND(W14&lt;&gt;"",X14&lt;&gt;"",X14&lt;=W14,X14&gt;W14*0.9),"Минимальная цена выше 90% от «Продать сейчас»",""),IF(AND(W14&lt;&gt;"",Y14&lt;&gt;"",Y14&gt;W14*0.3),"Стартовая ставка выше 30% от «Продать сейчас»",""),IF(AND(Z14&lt;&gt;"",AA14&lt;&gt;"",AA14&lt;EDATE(Z14,3)+15),"Аукцион короче 3 месяцев и 15 дней",""),IF(AND(AB14="Да",OR(AC14="",AC14&lt;=0)),"Цена тест-драйва за сутки",""),IF(OR(AJ14="",AJ14="Нет"),"Право собственности",""),IF(OR(AK14="",AK14="Нет"),"Справка об отсутствии обременений",""))="","",TEXTJOIN(", ",TRUE,IF(B14="","Название",""),IF(C14="","Тип недвижимости",""),IF(D14="","Страна",""),IF(E14="","Город",""),IF(F14="","Улица",""),IF(I14="","Валюта",""),IF(OR(AE14="",AE14&lt;1),"Хотя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земли",""),IF(OR(X14="",X14&lt;=0),"Минимальная цена продажи",""),IF(OR(Y14="",Y14&lt;=0),"Стартовая ставка",""),IF(Z14="","Начало аукциона",""),IF(AA14="","Окончание аукциона",""),IF(AND(W14&lt;&gt;"",X14&lt;&gt;"",X14&gt;W14),"Минимальная цена выше «Продать сейчас»",""),IF(AND(W14&lt;&gt;"",X14&lt;&gt;"",X14&lt;=W14,X14&gt;W14*0.9),"Минимальная цена выше 90% от «Продать сейчас»",""),IF(AND(W14&lt;&gt;"",Y14&lt;&gt;"",Y14&gt;W14*0.3),"Стартовая ставка выше 30% от «Продать сейчас»",""),IF(AND(Z14&lt;&gt;"",AA14&lt;&gt;"",AA14&lt;EDATE(Z14,3)+15),"Аукцион короче 3 месяцев и 15 дней",""),IF(AND(AB14="Да",OR(AC14="",AC14&lt;=0)),"Цена тест-драйва за сутки",""),IF(OR(AJ14="",AJ14="Нет"),"Право собственности",""),IF(OR(AK14="",AK14="Нет"),"Справка об отсутствии обременений",""))))</f>
        <v/>
      </c>
      <c r="AN14" s="35">
        <f>IF(NOT(COUNTA(A14:AL14)&gt;0),"",IF(TEXTJOIN(", ",TRUE,IF(AH14="","Описание",""),IF(AND(AE14&lt;&gt;"",AE14&gt;=1,AE14&lt;5),"Фото меньше 5",""),IF(AG14="","Видео",""),IF(H14="","Кадастровый номер",""),IF(AF14="","Ссылка на фото",""))="","",TEXTJOIN(", ",TRUE,IF(AH14="","Описание",""),IF(AND(AE14&lt;&gt;"",AE14&gt;=1,AE14&lt;5),"Фото меньше 5",""),IF(AG14="","Видео",""),IF(H14="","Кадастровый номер",""),IF(AF14="","Ссылка на фото",""))))</f>
        <v/>
      </c>
      <c r="AO14" s="35">
        <f>IF(NOT(COUNTA(A14:AL14)&gt;0),"",IF(AM14="","Можно публиковать","Не хватает"))</f>
        <v/>
      </c>
    </row>
    <row r="15" ht="22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 t="n"/>
      <c r="K15" s="31" t="n"/>
      <c r="L15" s="31" t="n"/>
      <c r="M15" s="32" t="n"/>
      <c r="N15" s="32" t="n"/>
      <c r="O15" s="32" t="n"/>
      <c r="P15" s="32" t="n"/>
      <c r="Q15" s="32" t="n"/>
      <c r="R15" s="32" t="n"/>
      <c r="S15" s="30" t="n"/>
      <c r="T15" s="30" t="n"/>
      <c r="U15" s="30" t="n"/>
      <c r="V15" s="30" t="n"/>
      <c r="W15" s="33" t="n"/>
      <c r="X15" s="33" t="n"/>
      <c r="Y15" s="33" t="n"/>
      <c r="Z15" s="34" t="n"/>
      <c r="AA15" s="34" t="n"/>
      <c r="AB15" s="30" t="n"/>
      <c r="AC15" s="33" t="n"/>
      <c r="AD15" s="33" t="n"/>
      <c r="AE15" s="32" t="n"/>
      <c r="AF15" s="30" t="n"/>
      <c r="AG15" s="30" t="n"/>
      <c r="AH15" s="30" t="n"/>
      <c r="AI15" s="30" t="n"/>
      <c r="AJ15" s="30" t="n"/>
      <c r="AK15" s="30" t="n"/>
      <c r="AL15" s="30" t="n"/>
      <c r="AM15" s="35">
        <f>IF(NOT(COUNTA(A15:AL15)&gt;0),"",IF(TEXTJOIN(", ",TRUE,IF(B15="","Название",""),IF(C15="","Тип недвижимости",""),IF(D15="","Страна",""),IF(E15="","Город",""),IF(F15="","Улица",""),IF(I15="","Валюта",""),IF(OR(AE15="",AE15&lt;1),"Хотя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земли",""),IF(OR(X15="",X15&lt;=0),"Минимальная цена продажи",""),IF(OR(Y15="",Y15&lt;=0),"Стартовая ставка",""),IF(Z15="","Начало аукциона",""),IF(AA15="","Окончание аукциона",""),IF(AND(W15&lt;&gt;"",X15&lt;&gt;"",X15&gt;W15),"Минимальная цена выше «Продать сейчас»",""),IF(AND(W15&lt;&gt;"",X15&lt;&gt;"",X15&lt;=W15,X15&gt;W15*0.9),"Минимальная цена выше 90% от «Продать сейчас»",""),IF(AND(W15&lt;&gt;"",Y15&lt;&gt;"",Y15&gt;W15*0.3),"Стартовая ставка выше 30% от «Продать сейчас»",""),IF(AND(Z15&lt;&gt;"",AA15&lt;&gt;"",AA15&lt;EDATE(Z15,3)+15),"Аукцион короче 3 месяцев и 15 дней",""),IF(AND(AB15="Да",OR(AC15="",AC15&lt;=0)),"Цена тест-драйва за сутки",""),IF(OR(AJ15="",AJ15="Нет"),"Право собственности",""),IF(OR(AK15="",AK15="Нет"),"Справка об отсутствии обременений",""))="","",TEXTJOIN(", ",TRUE,IF(B15="","Название",""),IF(C15="","Тип недвижимости",""),IF(D15="","Страна",""),IF(E15="","Город",""),IF(F15="","Улица",""),IF(I15="","Валюта",""),IF(OR(AE15="",AE15&lt;1),"Хотя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земли",""),IF(OR(X15="",X15&lt;=0),"Минимальная цена продажи",""),IF(OR(Y15="",Y15&lt;=0),"Стартовая ставка",""),IF(Z15="","Начало аукциона",""),IF(AA15="","Окончание аукциона",""),IF(AND(W15&lt;&gt;"",X15&lt;&gt;"",X15&gt;W15),"Минимальная цена выше «Продать сейчас»",""),IF(AND(W15&lt;&gt;"",X15&lt;&gt;"",X15&lt;=W15,X15&gt;W15*0.9),"Минимальная цена выше 90% от «Продать сейчас»",""),IF(AND(W15&lt;&gt;"",Y15&lt;&gt;"",Y15&gt;W15*0.3),"Стартовая ставка выше 30% от «Продать сейчас»",""),IF(AND(Z15&lt;&gt;"",AA15&lt;&gt;"",AA15&lt;EDATE(Z15,3)+15),"Аукцион короче 3 месяцев и 15 дней",""),IF(AND(AB15="Да",OR(AC15="",AC15&lt;=0)),"Цена тест-драйва за сутки",""),IF(OR(AJ15="",AJ15="Нет"),"Право собственности",""),IF(OR(AK15="",AK15="Нет"),"Справка об отсутствии обременений",""))))</f>
        <v/>
      </c>
      <c r="AN15" s="35">
        <f>IF(NOT(COUNTA(A15:AL15)&gt;0),"",IF(TEXTJOIN(", ",TRUE,IF(AH15="","Описание",""),IF(AND(AE15&lt;&gt;"",AE15&gt;=1,AE15&lt;5),"Фото меньше 5",""),IF(AG15="","Видео",""),IF(H15="","Кадастровый номер",""),IF(AF15="","Ссылка на фото",""))="","",TEXTJOIN(", ",TRUE,IF(AH15="","Описание",""),IF(AND(AE15&lt;&gt;"",AE15&gt;=1,AE15&lt;5),"Фото меньше 5",""),IF(AG15="","Видео",""),IF(H15="","Кадастровый номер",""),IF(AF15="","Ссылка на фото",""))))</f>
        <v/>
      </c>
      <c r="AO15" s="35">
        <f>IF(NOT(COUNTA(A15:AL15)&gt;0),"",IF(AM15="","Можно публиковать","Не хватает"))</f>
        <v/>
      </c>
    </row>
    <row r="16" ht="22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7" t="n"/>
      <c r="K16" s="37" t="n"/>
      <c r="L16" s="37" t="n"/>
      <c r="M16" s="38" t="n"/>
      <c r="N16" s="38" t="n"/>
      <c r="O16" s="38" t="n"/>
      <c r="P16" s="38" t="n"/>
      <c r="Q16" s="38" t="n"/>
      <c r="R16" s="38" t="n"/>
      <c r="S16" s="36" t="n"/>
      <c r="T16" s="36" t="n"/>
      <c r="U16" s="36" t="n"/>
      <c r="V16" s="36" t="n"/>
      <c r="W16" s="39" t="n"/>
      <c r="X16" s="39" t="n"/>
      <c r="Y16" s="39" t="n"/>
      <c r="Z16" s="40" t="n"/>
      <c r="AA16" s="40" t="n"/>
      <c r="AB16" s="36" t="n"/>
      <c r="AC16" s="39" t="n"/>
      <c r="AD16" s="39" t="n"/>
      <c r="AE16" s="38" t="n"/>
      <c r="AF16" s="36" t="n"/>
      <c r="AG16" s="36" t="n"/>
      <c r="AH16" s="36" t="n"/>
      <c r="AI16" s="36" t="n"/>
      <c r="AJ16" s="36" t="n"/>
      <c r="AK16" s="36" t="n"/>
      <c r="AL16" s="36" t="n"/>
      <c r="AM16" s="35">
        <f>IF(NOT(COUNTA(A16:AL16)&gt;0),"",IF(TEXTJOIN(", ",TRUE,IF(B16="","Название",""),IF(C16="","Тип недвижимости",""),IF(D16="","Страна",""),IF(E16="","Город",""),IF(F16="","Улица",""),IF(I16="","Валюта",""),IF(OR(AE16="",AE16&lt;1),"Хотя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земли",""),IF(OR(X16="",X16&lt;=0),"Минимальная цена продажи",""),IF(OR(Y16="",Y16&lt;=0),"Стартовая ставка",""),IF(Z16="","Начало аукциона",""),IF(AA16="","Окончание аукциона",""),IF(AND(W16&lt;&gt;"",X16&lt;&gt;"",X16&gt;W16),"Минимальная цена выше «Продать сейчас»",""),IF(AND(W16&lt;&gt;"",X16&lt;&gt;"",X16&lt;=W16,X16&gt;W16*0.9),"Минимальная цена выше 90% от «Продать сейчас»",""),IF(AND(W16&lt;&gt;"",Y16&lt;&gt;"",Y16&gt;W16*0.3),"Стартовая ставка выше 30% от «Продать сейчас»",""),IF(AND(Z16&lt;&gt;"",AA16&lt;&gt;"",AA16&lt;EDATE(Z16,3)+15),"Аукцион короче 3 месяцев и 15 дней",""),IF(AND(AB16="Да",OR(AC16="",AC16&lt;=0)),"Цена тест-драйва за сутки",""),IF(OR(AJ16="",AJ16="Нет"),"Право собственности",""),IF(OR(AK16="",AK16="Нет"),"Справка об отсутствии обременений",""))="","",TEXTJOIN(", ",TRUE,IF(B16="","Название",""),IF(C16="","Тип недвижимости",""),IF(D16="","Страна",""),IF(E16="","Город",""),IF(F16="","Улица",""),IF(I16="","Валюта",""),IF(OR(AE16="",AE16&lt;1),"Хотя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земли",""),IF(OR(X16="",X16&lt;=0),"Минимальная цена продажи",""),IF(OR(Y16="",Y16&lt;=0),"Стартовая ставка",""),IF(Z16="","Начало аукциона",""),IF(AA16="","Окончание аукциона",""),IF(AND(W16&lt;&gt;"",X16&lt;&gt;"",X16&gt;W16),"Минимальная цена выше «Продать сейчас»",""),IF(AND(W16&lt;&gt;"",X16&lt;&gt;"",X16&lt;=W16,X16&gt;W16*0.9),"Минимальная цена выше 90% от «Продать сейчас»",""),IF(AND(W16&lt;&gt;"",Y16&lt;&gt;"",Y16&gt;W16*0.3),"Стартовая ставка выше 30% от «Продать сейчас»",""),IF(AND(Z16&lt;&gt;"",AA16&lt;&gt;"",AA16&lt;EDATE(Z16,3)+15),"Аукцион короче 3 месяцев и 15 дней",""),IF(AND(AB16="Да",OR(AC16="",AC16&lt;=0)),"Цена тест-драйва за сутки",""),IF(OR(AJ16="",AJ16="Нет"),"Право собственности",""),IF(OR(AK16="",AK16="Нет"),"Справка об отсутствии обременений",""))))</f>
        <v/>
      </c>
      <c r="AN16" s="35">
        <f>IF(NOT(COUNTA(A16:AL16)&gt;0),"",IF(TEXTJOIN(", ",TRUE,IF(AH16="","Описание",""),IF(AND(AE16&lt;&gt;"",AE16&gt;=1,AE16&lt;5),"Фото меньше 5",""),IF(AG16="","Видео",""),IF(H16="","Кадастровый номер",""),IF(AF16="","Ссылка на фото",""))="","",TEXTJOIN(", ",TRUE,IF(AH16="","Описание",""),IF(AND(AE16&lt;&gt;"",AE16&gt;=1,AE16&lt;5),"Фото меньше 5",""),IF(AG16="","Видео",""),IF(H16="","Кадастровый номер",""),IF(AF16="","Ссылка на фото",""))))</f>
        <v/>
      </c>
      <c r="AO16" s="35">
        <f>IF(NOT(COUNTA(A16:AL16)&gt;0),"",IF(AM16="","Можно публиковать","Не хватает"))</f>
        <v/>
      </c>
    </row>
    <row r="17" ht="22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 t="n"/>
      <c r="K17" s="31" t="n"/>
      <c r="L17" s="31" t="n"/>
      <c r="M17" s="32" t="n"/>
      <c r="N17" s="32" t="n"/>
      <c r="O17" s="32" t="n"/>
      <c r="P17" s="32" t="n"/>
      <c r="Q17" s="32" t="n"/>
      <c r="R17" s="32" t="n"/>
      <c r="S17" s="30" t="n"/>
      <c r="T17" s="30" t="n"/>
      <c r="U17" s="30" t="n"/>
      <c r="V17" s="30" t="n"/>
      <c r="W17" s="33" t="n"/>
      <c r="X17" s="33" t="n"/>
      <c r="Y17" s="33" t="n"/>
      <c r="Z17" s="34" t="n"/>
      <c r="AA17" s="34" t="n"/>
      <c r="AB17" s="30" t="n"/>
      <c r="AC17" s="33" t="n"/>
      <c r="AD17" s="33" t="n"/>
      <c r="AE17" s="32" t="n"/>
      <c r="AF17" s="30" t="n"/>
      <c r="AG17" s="30" t="n"/>
      <c r="AH17" s="30" t="n"/>
      <c r="AI17" s="30" t="n"/>
      <c r="AJ17" s="30" t="n"/>
      <c r="AK17" s="30" t="n"/>
      <c r="AL17" s="30" t="n"/>
      <c r="AM17" s="35">
        <f>IF(NOT(COUNTA(A17:AL17)&gt;0),"",IF(TEXTJOIN(", ",TRUE,IF(B17="","Название",""),IF(C17="","Тип недвижимости",""),IF(D17="","Страна",""),IF(E17="","Город",""),IF(F17="","Улица",""),IF(I17="","Валюта",""),IF(OR(AE17="",AE17&lt;1),"Хотя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земли",""),IF(OR(X17="",X17&lt;=0),"Минимальная цена продажи",""),IF(OR(Y17="",Y17&lt;=0),"Стартовая ставка",""),IF(Z17="","Начало аукциона",""),IF(AA17="","Окончание аукциона",""),IF(AND(W17&lt;&gt;"",X17&lt;&gt;"",X17&gt;W17),"Минимальная цена выше «Продать сейчас»",""),IF(AND(W17&lt;&gt;"",X17&lt;&gt;"",X17&lt;=W17,X17&gt;W17*0.9),"Минимальная цена выше 90% от «Продать сейчас»",""),IF(AND(W17&lt;&gt;"",Y17&lt;&gt;"",Y17&gt;W17*0.3),"Стартовая ставка выше 30% от «Продать сейчас»",""),IF(AND(Z17&lt;&gt;"",AA17&lt;&gt;"",AA17&lt;EDATE(Z17,3)+15),"Аукцион короче 3 месяцев и 15 дней",""),IF(AND(AB17="Да",OR(AC17="",AC17&lt;=0)),"Цена тест-драйва за сутки",""),IF(OR(AJ17="",AJ17="Нет"),"Право собственности",""),IF(OR(AK17="",AK17="Нет"),"Справка об отсутствии обременений",""))="","",TEXTJOIN(", ",TRUE,IF(B17="","Название",""),IF(C17="","Тип недвижимости",""),IF(D17="","Страна",""),IF(E17="","Город",""),IF(F17="","Улица",""),IF(I17="","Валюта",""),IF(OR(AE17="",AE17&lt;1),"Хотя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земли",""),IF(OR(X17="",X17&lt;=0),"Минимальная цена продажи",""),IF(OR(Y17="",Y17&lt;=0),"Стартовая ставка",""),IF(Z17="","Начало аукциона",""),IF(AA17="","Окончание аукциона",""),IF(AND(W17&lt;&gt;"",X17&lt;&gt;"",X17&gt;W17),"Минимальная цена выше «Продать сейчас»",""),IF(AND(W17&lt;&gt;"",X17&lt;&gt;"",X17&lt;=W17,X17&gt;W17*0.9),"Минимальная цена выше 90% от «Продать сейчас»",""),IF(AND(W17&lt;&gt;"",Y17&lt;&gt;"",Y17&gt;W17*0.3),"Стартовая ставка выше 30% от «Продать сейчас»",""),IF(AND(Z17&lt;&gt;"",AA17&lt;&gt;"",AA17&lt;EDATE(Z17,3)+15),"Аукцион короче 3 месяцев и 15 дней",""),IF(AND(AB17="Да",OR(AC17="",AC17&lt;=0)),"Цена тест-драйва за сутки",""),IF(OR(AJ17="",AJ17="Нет"),"Право собственности",""),IF(OR(AK17="",AK17="Нет"),"Справка об отсутствии обременений",""))))</f>
        <v/>
      </c>
      <c r="AN17" s="35">
        <f>IF(NOT(COUNTA(A17:AL17)&gt;0),"",IF(TEXTJOIN(", ",TRUE,IF(AH17="","Описание",""),IF(AND(AE17&lt;&gt;"",AE17&gt;=1,AE17&lt;5),"Фото меньше 5",""),IF(AG17="","Видео",""),IF(H17="","Кадастровый номер",""),IF(AF17="","Ссылка на фото",""))="","",TEXTJOIN(", ",TRUE,IF(AH17="","Описание",""),IF(AND(AE17&lt;&gt;"",AE17&gt;=1,AE17&lt;5),"Фото меньше 5",""),IF(AG17="","Видео",""),IF(H17="","Кадастровый номер",""),IF(AF17="","Ссылка на фото",""))))</f>
        <v/>
      </c>
      <c r="AO17" s="35">
        <f>IF(NOT(COUNTA(A17:AL17)&gt;0),"",IF(AM17="","Можно публиковать","Не хватает"))</f>
        <v/>
      </c>
    </row>
    <row r="18" ht="22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7" t="n"/>
      <c r="K18" s="37" t="n"/>
      <c r="L18" s="37" t="n"/>
      <c r="M18" s="38" t="n"/>
      <c r="N18" s="38" t="n"/>
      <c r="O18" s="38" t="n"/>
      <c r="P18" s="38" t="n"/>
      <c r="Q18" s="38" t="n"/>
      <c r="R18" s="38" t="n"/>
      <c r="S18" s="36" t="n"/>
      <c r="T18" s="36" t="n"/>
      <c r="U18" s="36" t="n"/>
      <c r="V18" s="36" t="n"/>
      <c r="W18" s="39" t="n"/>
      <c r="X18" s="39" t="n"/>
      <c r="Y18" s="39" t="n"/>
      <c r="Z18" s="40" t="n"/>
      <c r="AA18" s="40" t="n"/>
      <c r="AB18" s="36" t="n"/>
      <c r="AC18" s="39" t="n"/>
      <c r="AD18" s="39" t="n"/>
      <c r="AE18" s="38" t="n"/>
      <c r="AF18" s="36" t="n"/>
      <c r="AG18" s="36" t="n"/>
      <c r="AH18" s="36" t="n"/>
      <c r="AI18" s="36" t="n"/>
      <c r="AJ18" s="36" t="n"/>
      <c r="AK18" s="36" t="n"/>
      <c r="AL18" s="36" t="n"/>
      <c r="AM18" s="35">
        <f>IF(NOT(COUNTA(A18:AL18)&gt;0),"",IF(TEXTJOIN(", ",TRUE,IF(B18="","Название",""),IF(C18="","Тип недвижимости",""),IF(D18="","Страна",""),IF(E18="","Город",""),IF(F18="","Улица",""),IF(I18="","Валюта",""),IF(OR(AE18="",AE18&lt;1),"Хотя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земли",""),IF(OR(X18="",X18&lt;=0),"Минимальная цена продажи",""),IF(OR(Y18="",Y18&lt;=0),"Стартовая ставка",""),IF(Z18="","Начало аукциона",""),IF(AA18="","Окончание аукциона",""),IF(AND(W18&lt;&gt;"",X18&lt;&gt;"",X18&gt;W18),"Минимальная цена выше «Продать сейчас»",""),IF(AND(W18&lt;&gt;"",X18&lt;&gt;"",X18&lt;=W18,X18&gt;W18*0.9),"Минимальная цена выше 90% от «Продать сейчас»",""),IF(AND(W18&lt;&gt;"",Y18&lt;&gt;"",Y18&gt;W18*0.3),"Стартовая ставка выше 30% от «Продать сейчас»",""),IF(AND(Z18&lt;&gt;"",AA18&lt;&gt;"",AA18&lt;EDATE(Z18,3)+15),"Аукцион короче 3 месяцев и 15 дней",""),IF(AND(AB18="Да",OR(AC18="",AC18&lt;=0)),"Цена тест-драйва за сутки",""),IF(OR(AJ18="",AJ18="Нет"),"Право собственности",""),IF(OR(AK18="",AK18="Нет"),"Справка об отсутствии обременений",""))="","",TEXTJOIN(", ",TRUE,IF(B18="","Название",""),IF(C18="","Тип недвижимости",""),IF(D18="","Страна",""),IF(E18="","Город",""),IF(F18="","Улица",""),IF(I18="","Валюта",""),IF(OR(AE18="",AE18&lt;1),"Хотя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земли",""),IF(OR(X18="",X18&lt;=0),"Минимальная цена продажи",""),IF(OR(Y18="",Y18&lt;=0),"Стартовая ставка",""),IF(Z18="","Начало аукциона",""),IF(AA18="","Окончание аукциона",""),IF(AND(W18&lt;&gt;"",X18&lt;&gt;"",X18&gt;W18),"Минимальная цена выше «Продать сейчас»",""),IF(AND(W18&lt;&gt;"",X18&lt;&gt;"",X18&lt;=W18,X18&gt;W18*0.9),"Минимальная цена выше 90% от «Продать сейчас»",""),IF(AND(W18&lt;&gt;"",Y18&lt;&gt;"",Y18&gt;W18*0.3),"Стартовая ставка выше 30% от «Продать сейчас»",""),IF(AND(Z18&lt;&gt;"",AA18&lt;&gt;"",AA18&lt;EDATE(Z18,3)+15),"Аукцион короче 3 месяцев и 15 дней",""),IF(AND(AB18="Да",OR(AC18="",AC18&lt;=0)),"Цена тест-драйва за сутки",""),IF(OR(AJ18="",AJ18="Нет"),"Право собственности",""),IF(OR(AK18="",AK18="Нет"),"Справка об отсутствии обременений",""))))</f>
        <v/>
      </c>
      <c r="AN18" s="35">
        <f>IF(NOT(COUNTA(A18:AL18)&gt;0),"",IF(TEXTJOIN(", ",TRUE,IF(AH18="","Описание",""),IF(AND(AE18&lt;&gt;"",AE18&gt;=1,AE18&lt;5),"Фото меньше 5",""),IF(AG18="","Видео",""),IF(H18="","Кадастровый номер",""),IF(AF18="","Ссылка на фото",""))="","",TEXTJOIN(", ",TRUE,IF(AH18="","Описание",""),IF(AND(AE18&lt;&gt;"",AE18&gt;=1,AE18&lt;5),"Фото меньше 5",""),IF(AG18="","Видео",""),IF(H18="","Кадастровый номер",""),IF(AF18="","Ссылка на фото",""))))</f>
        <v/>
      </c>
      <c r="AO18" s="35">
        <f>IF(NOT(COUNTA(A18:AL18)&gt;0),"",IF(AM18="","Можно публиковать","Не хватает"))</f>
        <v/>
      </c>
    </row>
    <row r="19" ht="22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  <c r="K19" s="31" t="n"/>
      <c r="L19" s="31" t="n"/>
      <c r="M19" s="32" t="n"/>
      <c r="N19" s="32" t="n"/>
      <c r="O19" s="32" t="n"/>
      <c r="P19" s="32" t="n"/>
      <c r="Q19" s="32" t="n"/>
      <c r="R19" s="32" t="n"/>
      <c r="S19" s="30" t="n"/>
      <c r="T19" s="30" t="n"/>
      <c r="U19" s="30" t="n"/>
      <c r="V19" s="30" t="n"/>
      <c r="W19" s="33" t="n"/>
      <c r="X19" s="33" t="n"/>
      <c r="Y19" s="33" t="n"/>
      <c r="Z19" s="34" t="n"/>
      <c r="AA19" s="34" t="n"/>
      <c r="AB19" s="30" t="n"/>
      <c r="AC19" s="33" t="n"/>
      <c r="AD19" s="33" t="n"/>
      <c r="AE19" s="32" t="n"/>
      <c r="AF19" s="30" t="n"/>
      <c r="AG19" s="30" t="n"/>
      <c r="AH19" s="30" t="n"/>
      <c r="AI19" s="30" t="n"/>
      <c r="AJ19" s="30" t="n"/>
      <c r="AK19" s="30" t="n"/>
      <c r="AL19" s="30" t="n"/>
      <c r="AM19" s="35">
        <f>IF(NOT(COUNTA(A19:AL19)&gt;0),"",IF(TEXTJOIN(", ",TRUE,IF(B19="","Название",""),IF(C19="","Тип недвижимости",""),IF(D19="","Страна",""),IF(E19="","Город",""),IF(F19="","Улица",""),IF(I19="","Валюта",""),IF(OR(AE19="",AE19&lt;1),"Хотя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земли",""),IF(OR(X19="",X19&lt;=0),"Минимальная цена продажи",""),IF(OR(Y19="",Y19&lt;=0),"Стартовая ставка",""),IF(Z19="","Начало аукциона",""),IF(AA19="","Окончание аукциона",""),IF(AND(W19&lt;&gt;"",X19&lt;&gt;"",X19&gt;W19),"Минимальная цена выше «Продать сейчас»",""),IF(AND(W19&lt;&gt;"",X19&lt;&gt;"",X19&lt;=W19,X19&gt;W19*0.9),"Минимальная цена выше 90% от «Продать сейчас»",""),IF(AND(W19&lt;&gt;"",Y19&lt;&gt;"",Y19&gt;W19*0.3),"Стартовая ставка выше 30% от «Продать сейчас»",""),IF(AND(Z19&lt;&gt;"",AA19&lt;&gt;"",AA19&lt;EDATE(Z19,3)+15),"Аукцион короче 3 месяцев и 15 дней",""),IF(AND(AB19="Да",OR(AC19="",AC19&lt;=0)),"Цена тест-драйва за сутки",""),IF(OR(AJ19="",AJ19="Нет"),"Право собственности",""),IF(OR(AK19="",AK19="Нет"),"Справка об отсутствии обременений",""))="","",TEXTJOIN(", ",TRUE,IF(B19="","Название",""),IF(C19="","Тип недвижимости",""),IF(D19="","Страна",""),IF(E19="","Город",""),IF(F19="","Улица",""),IF(I19="","Валюта",""),IF(OR(AE19="",AE19&lt;1),"Хотя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земли",""),IF(OR(X19="",X19&lt;=0),"Минимальная цена продажи",""),IF(OR(Y19="",Y19&lt;=0),"Стартовая ставка",""),IF(Z19="","Начало аукциона",""),IF(AA19="","Окончание аукциона",""),IF(AND(W19&lt;&gt;"",X19&lt;&gt;"",X19&gt;W19),"Минимальная цена выше «Продать сейчас»",""),IF(AND(W19&lt;&gt;"",X19&lt;&gt;"",X19&lt;=W19,X19&gt;W19*0.9),"Минимальная цена выше 90% от «Продать сейчас»",""),IF(AND(W19&lt;&gt;"",Y19&lt;&gt;"",Y19&gt;W19*0.3),"Стартовая ставка выше 30% от «Продать сейчас»",""),IF(AND(Z19&lt;&gt;"",AA19&lt;&gt;"",AA19&lt;EDATE(Z19,3)+15),"Аукцион короче 3 месяцев и 15 дней",""),IF(AND(AB19="Да",OR(AC19="",AC19&lt;=0)),"Цена тест-драйва за сутки",""),IF(OR(AJ19="",AJ19="Нет"),"Право собственности",""),IF(OR(AK19="",AK19="Нет"),"Справка об отсутствии обременений",""))))</f>
        <v/>
      </c>
      <c r="AN19" s="35">
        <f>IF(NOT(COUNTA(A19:AL19)&gt;0),"",IF(TEXTJOIN(", ",TRUE,IF(AH19="","Описание",""),IF(AND(AE19&lt;&gt;"",AE19&gt;=1,AE19&lt;5),"Фото меньше 5",""),IF(AG19="","Видео",""),IF(H19="","Кадастровый номер",""),IF(AF19="","Ссылка на фото",""))="","",TEXTJOIN(", ",TRUE,IF(AH19="","Описание",""),IF(AND(AE19&lt;&gt;"",AE19&gt;=1,AE19&lt;5),"Фото меньше 5",""),IF(AG19="","Видео",""),IF(H19="","Кадастровый номер",""),IF(AF19="","Ссылка на фото",""))))</f>
        <v/>
      </c>
      <c r="AO19" s="35">
        <f>IF(NOT(COUNTA(A19:AL19)&gt;0),"",IF(AM19="","Можно публиковать","Не хватает"))</f>
        <v/>
      </c>
    </row>
    <row r="20" ht="22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7" t="n"/>
      <c r="K20" s="37" t="n"/>
      <c r="L20" s="37" t="n"/>
      <c r="M20" s="38" t="n"/>
      <c r="N20" s="38" t="n"/>
      <c r="O20" s="38" t="n"/>
      <c r="P20" s="38" t="n"/>
      <c r="Q20" s="38" t="n"/>
      <c r="R20" s="38" t="n"/>
      <c r="S20" s="36" t="n"/>
      <c r="T20" s="36" t="n"/>
      <c r="U20" s="36" t="n"/>
      <c r="V20" s="36" t="n"/>
      <c r="W20" s="39" t="n"/>
      <c r="X20" s="39" t="n"/>
      <c r="Y20" s="39" t="n"/>
      <c r="Z20" s="40" t="n"/>
      <c r="AA20" s="40" t="n"/>
      <c r="AB20" s="36" t="n"/>
      <c r="AC20" s="39" t="n"/>
      <c r="AD20" s="39" t="n"/>
      <c r="AE20" s="38" t="n"/>
      <c r="AF20" s="36" t="n"/>
      <c r="AG20" s="36" t="n"/>
      <c r="AH20" s="36" t="n"/>
      <c r="AI20" s="36" t="n"/>
      <c r="AJ20" s="36" t="n"/>
      <c r="AK20" s="36" t="n"/>
      <c r="AL20" s="36" t="n"/>
      <c r="AM20" s="35">
        <f>IF(NOT(COUNTA(A20:AL20)&gt;0),"",IF(TEXTJOIN(", ",TRUE,IF(B20="","Название",""),IF(C20="","Тип недвижимости",""),IF(D20="","Страна",""),IF(E20="","Город",""),IF(F20="","Улица",""),IF(I20="","Валюта",""),IF(OR(AE20="",AE20&lt;1),"Хотя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земли",""),IF(OR(X20="",X20&lt;=0),"Минимальная цена продажи",""),IF(OR(Y20="",Y20&lt;=0),"Стартовая ставка",""),IF(Z20="","Начало аукциона",""),IF(AA20="","Окончание аукциона",""),IF(AND(W20&lt;&gt;"",X20&lt;&gt;"",X20&gt;W20),"Минимальная цена выше «Продать сейчас»",""),IF(AND(W20&lt;&gt;"",X20&lt;&gt;"",X20&lt;=W20,X20&gt;W20*0.9),"Минимальная цена выше 90% от «Продать сейчас»",""),IF(AND(W20&lt;&gt;"",Y20&lt;&gt;"",Y20&gt;W20*0.3),"Стартовая ставка выше 30% от «Продать сейчас»",""),IF(AND(Z20&lt;&gt;"",AA20&lt;&gt;"",AA20&lt;EDATE(Z20,3)+15),"Аукцион короче 3 месяцев и 15 дней",""),IF(AND(AB20="Да",OR(AC20="",AC20&lt;=0)),"Цена тест-драйва за сутки",""),IF(OR(AJ20="",AJ20="Нет"),"Право собственности",""),IF(OR(AK20="",AK20="Нет"),"Справка об отсутствии обременений",""))="","",TEXTJOIN(", ",TRUE,IF(B20="","Название",""),IF(C20="","Тип недвижимости",""),IF(D20="","Страна",""),IF(E20="","Город",""),IF(F20="","Улица",""),IF(I20="","Валюта",""),IF(OR(AE20="",AE20&lt;1),"Хотя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земли",""),IF(OR(X20="",X20&lt;=0),"Минимальная цена продажи",""),IF(OR(Y20="",Y20&lt;=0),"Стартовая ставка",""),IF(Z20="","Начало аукциона",""),IF(AA20="","Окончание аукциона",""),IF(AND(W20&lt;&gt;"",X20&lt;&gt;"",X20&gt;W20),"Минимальная цена выше «Продать сейчас»",""),IF(AND(W20&lt;&gt;"",X20&lt;&gt;"",X20&lt;=W20,X20&gt;W20*0.9),"Минимальная цена выше 90% от «Продать сейчас»",""),IF(AND(W20&lt;&gt;"",Y20&lt;&gt;"",Y20&gt;W20*0.3),"Стартовая ставка выше 30% от «Продать сейчас»",""),IF(AND(Z20&lt;&gt;"",AA20&lt;&gt;"",AA20&lt;EDATE(Z20,3)+15),"Аукцион короче 3 месяцев и 15 дней",""),IF(AND(AB20="Да",OR(AC20="",AC20&lt;=0)),"Цена тест-драйва за сутки",""),IF(OR(AJ20="",AJ20="Нет"),"Право собственности",""),IF(OR(AK20="",AK20="Нет"),"Справка об отсутствии обременений",""))))</f>
        <v/>
      </c>
      <c r="AN20" s="35">
        <f>IF(NOT(COUNTA(A20:AL20)&gt;0),"",IF(TEXTJOIN(", ",TRUE,IF(AH20="","Описание",""),IF(AND(AE20&lt;&gt;"",AE20&gt;=1,AE20&lt;5),"Фото меньше 5",""),IF(AG20="","Видео",""),IF(H20="","Кадастровый номер",""),IF(AF20="","Ссылка на фото",""))="","",TEXTJOIN(", ",TRUE,IF(AH20="","Описание",""),IF(AND(AE20&lt;&gt;"",AE20&gt;=1,AE20&lt;5),"Фото меньше 5",""),IF(AG20="","Видео",""),IF(H20="","Кадастровый номер",""),IF(AF20="","Ссылка на фото",""))))</f>
        <v/>
      </c>
      <c r="AO20" s="35">
        <f>IF(NOT(COUNTA(A20:AL20)&gt;0),"",IF(AM20="","Можно публиковать","Не хватает"))</f>
        <v/>
      </c>
    </row>
    <row r="21" ht="2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 t="n"/>
      <c r="K21" s="31" t="n"/>
      <c r="L21" s="31" t="n"/>
      <c r="M21" s="32" t="n"/>
      <c r="N21" s="32" t="n"/>
      <c r="O21" s="32" t="n"/>
      <c r="P21" s="32" t="n"/>
      <c r="Q21" s="32" t="n"/>
      <c r="R21" s="32" t="n"/>
      <c r="S21" s="30" t="n"/>
      <c r="T21" s="30" t="n"/>
      <c r="U21" s="30" t="n"/>
      <c r="V21" s="30" t="n"/>
      <c r="W21" s="33" t="n"/>
      <c r="X21" s="33" t="n"/>
      <c r="Y21" s="33" t="n"/>
      <c r="Z21" s="34" t="n"/>
      <c r="AA21" s="34" t="n"/>
      <c r="AB21" s="30" t="n"/>
      <c r="AC21" s="33" t="n"/>
      <c r="AD21" s="33" t="n"/>
      <c r="AE21" s="32" t="n"/>
      <c r="AF21" s="30" t="n"/>
      <c r="AG21" s="30" t="n"/>
      <c r="AH21" s="30" t="n"/>
      <c r="AI21" s="30" t="n"/>
      <c r="AJ21" s="30" t="n"/>
      <c r="AK21" s="30" t="n"/>
      <c r="AL21" s="30" t="n"/>
      <c r="AM21" s="35">
        <f>IF(NOT(COUNTA(A21:AL21)&gt;0),"",IF(TEXTJOIN(", ",TRUE,IF(B21="","Название",""),IF(C21="","Тип недвижимости",""),IF(D21="","Страна",""),IF(E21="","Город",""),IF(F21="","Улица",""),IF(I21="","Валюта",""),IF(OR(AE21="",AE21&lt;1),"Хотя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земли",""),IF(OR(X21="",X21&lt;=0),"Минимальная цена продажи",""),IF(OR(Y21="",Y21&lt;=0),"Стартовая ставка",""),IF(Z21="","Начало аукциона",""),IF(AA21="","Окончание аукциона",""),IF(AND(W21&lt;&gt;"",X21&lt;&gt;"",X21&gt;W21),"Минимальная цена выше «Продать сейчас»",""),IF(AND(W21&lt;&gt;"",X21&lt;&gt;"",X21&lt;=W21,X21&gt;W21*0.9),"Минимальная цена выше 90% от «Продать сейчас»",""),IF(AND(W21&lt;&gt;"",Y21&lt;&gt;"",Y21&gt;W21*0.3),"Стартовая ставка выше 30% от «Продать сейчас»",""),IF(AND(Z21&lt;&gt;"",AA21&lt;&gt;"",AA21&lt;EDATE(Z21,3)+15),"Аукцион короче 3 месяцев и 15 дней",""),IF(AND(AB21="Да",OR(AC21="",AC21&lt;=0)),"Цена тест-драйва за сутки",""),IF(OR(AJ21="",AJ21="Нет"),"Право собственности",""),IF(OR(AK21="",AK21="Нет"),"Справка об отсутствии обременений",""))="","",TEXTJOIN(", ",TRUE,IF(B21="","Название",""),IF(C21="","Тип недвижимости",""),IF(D21="","Страна",""),IF(E21="","Город",""),IF(F21="","Улица",""),IF(I21="","Валюта",""),IF(OR(AE21="",AE21&lt;1),"Хотя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земли",""),IF(OR(X21="",X21&lt;=0),"Минимальная цена продажи",""),IF(OR(Y21="",Y21&lt;=0),"Стартовая ставка",""),IF(Z21="","Начало аукциона",""),IF(AA21="","Окончание аукциона",""),IF(AND(W21&lt;&gt;"",X21&lt;&gt;"",X21&gt;W21),"Минимальная цена выше «Продать сейчас»",""),IF(AND(W21&lt;&gt;"",X21&lt;&gt;"",X21&lt;=W21,X21&gt;W21*0.9),"Минимальная цена выше 90% от «Продать сейчас»",""),IF(AND(W21&lt;&gt;"",Y21&lt;&gt;"",Y21&gt;W21*0.3),"Стартовая ставка выше 30% от «Продать сейчас»",""),IF(AND(Z21&lt;&gt;"",AA21&lt;&gt;"",AA21&lt;EDATE(Z21,3)+15),"Аукцион короче 3 месяцев и 15 дней",""),IF(AND(AB21="Да",OR(AC21="",AC21&lt;=0)),"Цена тест-драйва за сутки",""),IF(OR(AJ21="",AJ21="Нет"),"Право собственности",""),IF(OR(AK21="",AK21="Нет"),"Справка об отсутствии обременений",""))))</f>
        <v/>
      </c>
      <c r="AN21" s="35">
        <f>IF(NOT(COUNTA(A21:AL21)&gt;0),"",IF(TEXTJOIN(", ",TRUE,IF(AH21="","Описание",""),IF(AND(AE21&lt;&gt;"",AE21&gt;=1,AE21&lt;5),"Фото меньше 5",""),IF(AG21="","Видео",""),IF(H21="","Кадастровый номер",""),IF(AF21="","Ссылка на фото",""))="","",TEXTJOIN(", ",TRUE,IF(AH21="","Описание",""),IF(AND(AE21&lt;&gt;"",AE21&gt;=1,AE21&lt;5),"Фото меньше 5",""),IF(AG21="","Видео",""),IF(H21="","Кадастровый номер",""),IF(AF21="","Ссылка на фото",""))))</f>
        <v/>
      </c>
      <c r="AO21" s="35">
        <f>IF(NOT(COUNTA(A21:AL21)&gt;0),"",IF(AM21="","Можно публиковать","Не хватает"))</f>
        <v/>
      </c>
    </row>
    <row r="22" ht="22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7" t="n"/>
      <c r="K22" s="37" t="n"/>
      <c r="L22" s="37" t="n"/>
      <c r="M22" s="38" t="n"/>
      <c r="N22" s="38" t="n"/>
      <c r="O22" s="38" t="n"/>
      <c r="P22" s="38" t="n"/>
      <c r="Q22" s="38" t="n"/>
      <c r="R22" s="38" t="n"/>
      <c r="S22" s="36" t="n"/>
      <c r="T22" s="36" t="n"/>
      <c r="U22" s="36" t="n"/>
      <c r="V22" s="36" t="n"/>
      <c r="W22" s="39" t="n"/>
      <c r="X22" s="39" t="n"/>
      <c r="Y22" s="39" t="n"/>
      <c r="Z22" s="40" t="n"/>
      <c r="AA22" s="40" t="n"/>
      <c r="AB22" s="36" t="n"/>
      <c r="AC22" s="39" t="n"/>
      <c r="AD22" s="39" t="n"/>
      <c r="AE22" s="38" t="n"/>
      <c r="AF22" s="36" t="n"/>
      <c r="AG22" s="36" t="n"/>
      <c r="AH22" s="36" t="n"/>
      <c r="AI22" s="36" t="n"/>
      <c r="AJ22" s="36" t="n"/>
      <c r="AK22" s="36" t="n"/>
      <c r="AL22" s="36" t="n"/>
      <c r="AM22" s="35">
        <f>IF(NOT(COUNTA(A22:AL22)&gt;0),"",IF(TEXTJOIN(", ",TRUE,IF(B22="","Название",""),IF(C22="","Тип недвижимости",""),IF(D22="","Страна",""),IF(E22="","Город",""),IF(F22="","Улица",""),IF(I22="","Валюта",""),IF(OR(AE22="",AE22&lt;1),"Хотя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земли",""),IF(OR(X22="",X22&lt;=0),"Минимальная цена продажи",""),IF(OR(Y22="",Y22&lt;=0),"Стартовая ставка",""),IF(Z22="","Начало аукциона",""),IF(AA22="","Окончание аукциона",""),IF(AND(W22&lt;&gt;"",X22&lt;&gt;"",X22&gt;W22),"Минимальная цена выше «Продать сейчас»",""),IF(AND(W22&lt;&gt;"",X22&lt;&gt;"",X22&lt;=W22,X22&gt;W22*0.9),"Минимальная цена выше 90% от «Продать сейчас»",""),IF(AND(W22&lt;&gt;"",Y22&lt;&gt;"",Y22&gt;W22*0.3),"Стартовая ставка выше 30% от «Продать сейчас»",""),IF(AND(Z22&lt;&gt;"",AA22&lt;&gt;"",AA22&lt;EDATE(Z22,3)+15),"Аукцион короче 3 месяцев и 15 дней",""),IF(AND(AB22="Да",OR(AC22="",AC22&lt;=0)),"Цена тест-драйва за сутки",""),IF(OR(AJ22="",AJ22="Нет"),"Право собственности",""),IF(OR(AK22="",AK22="Нет"),"Справка об отсутствии обременений",""))="","",TEXTJOIN(", ",TRUE,IF(B22="","Название",""),IF(C22="","Тип недвижимости",""),IF(D22="","Страна",""),IF(E22="","Город",""),IF(F22="","Улица",""),IF(I22="","Валюта",""),IF(OR(AE22="",AE22&lt;1),"Хотя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земли",""),IF(OR(X22="",X22&lt;=0),"Минимальная цена продажи",""),IF(OR(Y22="",Y22&lt;=0),"Стартовая ставка",""),IF(Z22="","Начало аукциона",""),IF(AA22="","Окончание аукциона",""),IF(AND(W22&lt;&gt;"",X22&lt;&gt;"",X22&gt;W22),"Минимальная цена выше «Продать сейчас»",""),IF(AND(W22&lt;&gt;"",X22&lt;&gt;"",X22&lt;=W22,X22&gt;W22*0.9),"Минимальная цена выше 90% от «Продать сейчас»",""),IF(AND(W22&lt;&gt;"",Y22&lt;&gt;"",Y22&gt;W22*0.3),"Стартовая ставка выше 30% от «Продать сейчас»",""),IF(AND(Z22&lt;&gt;"",AA22&lt;&gt;"",AA22&lt;EDATE(Z22,3)+15),"Аукцион короче 3 месяцев и 15 дней",""),IF(AND(AB22="Да",OR(AC22="",AC22&lt;=0)),"Цена тест-драйва за сутки",""),IF(OR(AJ22="",AJ22="Нет"),"Право собственности",""),IF(OR(AK22="",AK22="Нет"),"Справка об отсутствии обременений",""))))</f>
        <v/>
      </c>
      <c r="AN22" s="35">
        <f>IF(NOT(COUNTA(A22:AL22)&gt;0),"",IF(TEXTJOIN(", ",TRUE,IF(AH22="","Описание",""),IF(AND(AE22&lt;&gt;"",AE22&gt;=1,AE22&lt;5),"Фото меньше 5",""),IF(AG22="","Видео",""),IF(H22="","Кадастровый номер",""),IF(AF22="","Ссылка на фото",""))="","",TEXTJOIN(", ",TRUE,IF(AH22="","Описание",""),IF(AND(AE22&lt;&gt;"",AE22&gt;=1,AE22&lt;5),"Фото меньше 5",""),IF(AG22="","Видео",""),IF(H22="","Кадастровый номер",""),IF(AF22="","Ссылка на фото",""))))</f>
        <v/>
      </c>
      <c r="AO22" s="35">
        <f>IF(NOT(COUNTA(A22:AL22)&gt;0),"",IF(AM22="","Можно публиковать","Не хватает"))</f>
        <v/>
      </c>
    </row>
    <row r="23" ht="2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 t="n"/>
      <c r="K23" s="31" t="n"/>
      <c r="L23" s="31" t="n"/>
      <c r="M23" s="32" t="n"/>
      <c r="N23" s="32" t="n"/>
      <c r="O23" s="32" t="n"/>
      <c r="P23" s="32" t="n"/>
      <c r="Q23" s="32" t="n"/>
      <c r="R23" s="32" t="n"/>
      <c r="S23" s="30" t="n"/>
      <c r="T23" s="30" t="n"/>
      <c r="U23" s="30" t="n"/>
      <c r="V23" s="30" t="n"/>
      <c r="W23" s="33" t="n"/>
      <c r="X23" s="33" t="n"/>
      <c r="Y23" s="33" t="n"/>
      <c r="Z23" s="34" t="n"/>
      <c r="AA23" s="34" t="n"/>
      <c r="AB23" s="30" t="n"/>
      <c r="AC23" s="33" t="n"/>
      <c r="AD23" s="33" t="n"/>
      <c r="AE23" s="32" t="n"/>
      <c r="AF23" s="30" t="n"/>
      <c r="AG23" s="30" t="n"/>
      <c r="AH23" s="30" t="n"/>
      <c r="AI23" s="30" t="n"/>
      <c r="AJ23" s="30" t="n"/>
      <c r="AK23" s="30" t="n"/>
      <c r="AL23" s="30" t="n"/>
      <c r="AM23" s="35">
        <f>IF(NOT(COUNTA(A23:AL23)&gt;0),"",IF(TEXTJOIN(", ",TRUE,IF(B23="","Название",""),IF(C23="","Тип недвижимости",""),IF(D23="","Страна",""),IF(E23="","Город",""),IF(F23="","Улица",""),IF(I23="","Валюта",""),IF(OR(AE23="",AE23&lt;1),"Хотя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земли",""),IF(OR(X23="",X23&lt;=0),"Минимальная цена продажи",""),IF(OR(Y23="",Y23&lt;=0),"Стартовая ставка",""),IF(Z23="","Начало аукциона",""),IF(AA23="","Окончание аукциона",""),IF(AND(W23&lt;&gt;"",X23&lt;&gt;"",X23&gt;W23),"Минимальная цена выше «Продать сейчас»",""),IF(AND(W23&lt;&gt;"",X23&lt;&gt;"",X23&lt;=W23,X23&gt;W23*0.9),"Минимальная цена выше 90% от «Продать сейчас»",""),IF(AND(W23&lt;&gt;"",Y23&lt;&gt;"",Y23&gt;W23*0.3),"Стартовая ставка выше 30% от «Продать сейчас»",""),IF(AND(Z23&lt;&gt;"",AA23&lt;&gt;"",AA23&lt;EDATE(Z23,3)+15),"Аукцион короче 3 месяцев и 15 дней",""),IF(AND(AB23="Да",OR(AC23="",AC23&lt;=0)),"Цена тест-драйва за сутки",""),IF(OR(AJ23="",AJ23="Нет"),"Право собственности",""),IF(OR(AK23="",AK23="Нет"),"Справка об отсутствии обременений",""))="","",TEXTJOIN(", ",TRUE,IF(B23="","Название",""),IF(C23="","Тип недвижимости",""),IF(D23="","Страна",""),IF(E23="","Город",""),IF(F23="","Улица",""),IF(I23="","Валюта",""),IF(OR(AE23="",AE23&lt;1),"Хотя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земли",""),IF(OR(X23="",X23&lt;=0),"Минимальная цена продажи",""),IF(OR(Y23="",Y23&lt;=0),"Стартовая ставка",""),IF(Z23="","Начало аукциона",""),IF(AA23="","Окончание аукциона",""),IF(AND(W23&lt;&gt;"",X23&lt;&gt;"",X23&gt;W23),"Минимальная цена выше «Продать сейчас»",""),IF(AND(W23&lt;&gt;"",X23&lt;&gt;"",X23&lt;=W23,X23&gt;W23*0.9),"Минимальная цена выше 90% от «Продать сейчас»",""),IF(AND(W23&lt;&gt;"",Y23&lt;&gt;"",Y23&gt;W23*0.3),"Стартовая ставка выше 30% от «Продать сейчас»",""),IF(AND(Z23&lt;&gt;"",AA23&lt;&gt;"",AA23&lt;EDATE(Z23,3)+15),"Аукцион короче 3 месяцев и 15 дней",""),IF(AND(AB23="Да",OR(AC23="",AC23&lt;=0)),"Цена тест-драйва за сутки",""),IF(OR(AJ23="",AJ23="Нет"),"Право собственности",""),IF(OR(AK23="",AK23="Нет"),"Справка об отсутствии обременений",""))))</f>
        <v/>
      </c>
      <c r="AN23" s="35">
        <f>IF(NOT(COUNTA(A23:AL23)&gt;0),"",IF(TEXTJOIN(", ",TRUE,IF(AH23="","Описание",""),IF(AND(AE23&lt;&gt;"",AE23&gt;=1,AE23&lt;5),"Фото меньше 5",""),IF(AG23="","Видео",""),IF(H23="","Кадастровый номер",""),IF(AF23="","Ссылка на фото",""))="","",TEXTJOIN(", ",TRUE,IF(AH23="","Описание",""),IF(AND(AE23&lt;&gt;"",AE23&gt;=1,AE23&lt;5),"Фото меньше 5",""),IF(AG23="","Видео",""),IF(H23="","Кадастровый номер",""),IF(AF23="","Ссылка на фото",""))))</f>
        <v/>
      </c>
      <c r="AO23" s="35">
        <f>IF(NOT(COUNTA(A23:AL23)&gt;0),"",IF(AM23="","Можно публиковать","Не хватает"))</f>
        <v/>
      </c>
    </row>
    <row r="24" ht="22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7" t="n"/>
      <c r="K24" s="37" t="n"/>
      <c r="L24" s="37" t="n"/>
      <c r="M24" s="38" t="n"/>
      <c r="N24" s="38" t="n"/>
      <c r="O24" s="38" t="n"/>
      <c r="P24" s="38" t="n"/>
      <c r="Q24" s="38" t="n"/>
      <c r="R24" s="38" t="n"/>
      <c r="S24" s="36" t="n"/>
      <c r="T24" s="36" t="n"/>
      <c r="U24" s="36" t="n"/>
      <c r="V24" s="36" t="n"/>
      <c r="W24" s="39" t="n"/>
      <c r="X24" s="39" t="n"/>
      <c r="Y24" s="39" t="n"/>
      <c r="Z24" s="40" t="n"/>
      <c r="AA24" s="40" t="n"/>
      <c r="AB24" s="36" t="n"/>
      <c r="AC24" s="39" t="n"/>
      <c r="AD24" s="39" t="n"/>
      <c r="AE24" s="38" t="n"/>
      <c r="AF24" s="36" t="n"/>
      <c r="AG24" s="36" t="n"/>
      <c r="AH24" s="36" t="n"/>
      <c r="AI24" s="36" t="n"/>
      <c r="AJ24" s="36" t="n"/>
      <c r="AK24" s="36" t="n"/>
      <c r="AL24" s="36" t="n"/>
      <c r="AM24" s="35">
        <f>IF(NOT(COUNTA(A24:AL24)&gt;0),"",IF(TEXTJOIN(", ",TRUE,IF(B24="","Название",""),IF(C24="","Тип недвижимости",""),IF(D24="","Страна",""),IF(E24="","Город",""),IF(F24="","Улица",""),IF(I24="","Валюта",""),IF(OR(AE24="",AE24&lt;1),"Хотя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земли",""),IF(OR(X24="",X24&lt;=0),"Минимальная цена продажи",""),IF(OR(Y24="",Y24&lt;=0),"Стартовая ставка",""),IF(Z24="","Начало аукциона",""),IF(AA24="","Окончание аукциона",""),IF(AND(W24&lt;&gt;"",X24&lt;&gt;"",X24&gt;W24),"Минимальная цена выше «Продать сейчас»",""),IF(AND(W24&lt;&gt;"",X24&lt;&gt;"",X24&lt;=W24,X24&gt;W24*0.9),"Минимальная цена выше 90% от «Продать сейчас»",""),IF(AND(W24&lt;&gt;"",Y24&lt;&gt;"",Y24&gt;W24*0.3),"Стартовая ставка выше 30% от «Продать сейчас»",""),IF(AND(Z24&lt;&gt;"",AA24&lt;&gt;"",AA24&lt;EDATE(Z24,3)+15),"Аукцион короче 3 месяцев и 15 дней",""),IF(AND(AB24="Да",OR(AC24="",AC24&lt;=0)),"Цена тест-драйва за сутки",""),IF(OR(AJ24="",AJ24="Нет"),"Право собственности",""),IF(OR(AK24="",AK24="Нет"),"Справка об отсутствии обременений",""))="","",TEXTJOIN(", ",TRUE,IF(B24="","Название",""),IF(C24="","Тип недвижимости",""),IF(D24="","Страна",""),IF(E24="","Город",""),IF(F24="","Улица",""),IF(I24="","Валюта",""),IF(OR(AE24="",AE24&lt;1),"Хотя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земли",""),IF(OR(X24="",X24&lt;=0),"Минимальная цена продажи",""),IF(OR(Y24="",Y24&lt;=0),"Стартовая ставка",""),IF(Z24="","Начало аукциона",""),IF(AA24="","Окончание аукциона",""),IF(AND(W24&lt;&gt;"",X24&lt;&gt;"",X24&gt;W24),"Минимальная цена выше «Продать сейчас»",""),IF(AND(W24&lt;&gt;"",X24&lt;&gt;"",X24&lt;=W24,X24&gt;W24*0.9),"Минимальная цена выше 90% от «Продать сейчас»",""),IF(AND(W24&lt;&gt;"",Y24&lt;&gt;"",Y24&gt;W24*0.3),"Стартовая ставка выше 30% от «Продать сейчас»",""),IF(AND(Z24&lt;&gt;"",AA24&lt;&gt;"",AA24&lt;EDATE(Z24,3)+15),"Аукцион короче 3 месяцев и 15 дней",""),IF(AND(AB24="Да",OR(AC24="",AC24&lt;=0)),"Цена тест-драйва за сутки",""),IF(OR(AJ24="",AJ24="Нет"),"Право собственности",""),IF(OR(AK24="",AK24="Нет"),"Справка об отсутствии обременений",""))))</f>
        <v/>
      </c>
      <c r="AN24" s="35">
        <f>IF(NOT(COUNTA(A24:AL24)&gt;0),"",IF(TEXTJOIN(", ",TRUE,IF(AH24="","Описание",""),IF(AND(AE24&lt;&gt;"",AE24&gt;=1,AE24&lt;5),"Фото меньше 5",""),IF(AG24="","Видео",""),IF(H24="","Кадастровый номер",""),IF(AF24="","Ссылка на фото",""))="","",TEXTJOIN(", ",TRUE,IF(AH24="","Описание",""),IF(AND(AE24&lt;&gt;"",AE24&gt;=1,AE24&lt;5),"Фото меньше 5",""),IF(AG24="","Видео",""),IF(H24="","Кадастровый номер",""),IF(AF24="","Ссылка на фото",""))))</f>
        <v/>
      </c>
      <c r="AO24" s="35">
        <f>IF(NOT(COUNTA(A24:AL24)&gt;0),"",IF(AM24="","Можно публиковать","Не хватает"))</f>
        <v/>
      </c>
    </row>
    <row r="25" ht="2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 t="n"/>
      <c r="K25" s="31" t="n"/>
      <c r="L25" s="31" t="n"/>
      <c r="M25" s="32" t="n"/>
      <c r="N25" s="32" t="n"/>
      <c r="O25" s="32" t="n"/>
      <c r="P25" s="32" t="n"/>
      <c r="Q25" s="32" t="n"/>
      <c r="R25" s="32" t="n"/>
      <c r="S25" s="30" t="n"/>
      <c r="T25" s="30" t="n"/>
      <c r="U25" s="30" t="n"/>
      <c r="V25" s="30" t="n"/>
      <c r="W25" s="33" t="n"/>
      <c r="X25" s="33" t="n"/>
      <c r="Y25" s="33" t="n"/>
      <c r="Z25" s="34" t="n"/>
      <c r="AA25" s="34" t="n"/>
      <c r="AB25" s="30" t="n"/>
      <c r="AC25" s="33" t="n"/>
      <c r="AD25" s="33" t="n"/>
      <c r="AE25" s="32" t="n"/>
      <c r="AF25" s="30" t="n"/>
      <c r="AG25" s="30" t="n"/>
      <c r="AH25" s="30" t="n"/>
      <c r="AI25" s="30" t="n"/>
      <c r="AJ25" s="30" t="n"/>
      <c r="AK25" s="30" t="n"/>
      <c r="AL25" s="30" t="n"/>
      <c r="AM25" s="35">
        <f>IF(NOT(COUNTA(A25:AL25)&gt;0),"",IF(TEXTJOIN(", ",TRUE,IF(B25="","Название",""),IF(C25="","Тип недвижимости",""),IF(D25="","Страна",""),IF(E25="","Город",""),IF(F25="","Улица",""),IF(I25="","Валюта",""),IF(OR(AE25="",AE25&lt;1),"Хотя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земли",""),IF(OR(X25="",X25&lt;=0),"Минимальная цена продажи",""),IF(OR(Y25="",Y25&lt;=0),"Стартовая ставка",""),IF(Z25="","Начало аукциона",""),IF(AA25="","Окончание аукциона",""),IF(AND(W25&lt;&gt;"",X25&lt;&gt;"",X25&gt;W25),"Минимальная цена выше «Продать сейчас»",""),IF(AND(W25&lt;&gt;"",X25&lt;&gt;"",X25&lt;=W25,X25&gt;W25*0.9),"Минимальная цена выше 90% от «Продать сейчас»",""),IF(AND(W25&lt;&gt;"",Y25&lt;&gt;"",Y25&gt;W25*0.3),"Стартовая ставка выше 30% от «Продать сейчас»",""),IF(AND(Z25&lt;&gt;"",AA25&lt;&gt;"",AA25&lt;EDATE(Z25,3)+15),"Аукцион короче 3 месяцев и 15 дней",""),IF(AND(AB25="Да",OR(AC25="",AC25&lt;=0)),"Цена тест-драйва за сутки",""),IF(OR(AJ25="",AJ25="Нет"),"Право собственности",""),IF(OR(AK25="",AK25="Нет"),"Справка об отсутствии обременений",""))="","",TEXTJOIN(", ",TRUE,IF(B25="","Название",""),IF(C25="","Тип недвижимости",""),IF(D25="","Страна",""),IF(E25="","Город",""),IF(F25="","Улица",""),IF(I25="","Валюта",""),IF(OR(AE25="",AE25&lt;1),"Хотя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земли",""),IF(OR(X25="",X25&lt;=0),"Минимальная цена продажи",""),IF(OR(Y25="",Y25&lt;=0),"Стартовая ставка",""),IF(Z25="","Начало аукциона",""),IF(AA25="","Окончание аукциона",""),IF(AND(W25&lt;&gt;"",X25&lt;&gt;"",X25&gt;W25),"Минимальная цена выше «Продать сейчас»",""),IF(AND(W25&lt;&gt;"",X25&lt;&gt;"",X25&lt;=W25,X25&gt;W25*0.9),"Минимальная цена выше 90% от «Продать сейчас»",""),IF(AND(W25&lt;&gt;"",Y25&lt;&gt;"",Y25&gt;W25*0.3),"Стартовая ставка выше 30% от «Продать сейчас»",""),IF(AND(Z25&lt;&gt;"",AA25&lt;&gt;"",AA25&lt;EDATE(Z25,3)+15),"Аукцион короче 3 месяцев и 15 дней",""),IF(AND(AB25="Да",OR(AC25="",AC25&lt;=0)),"Цена тест-драйва за сутки",""),IF(OR(AJ25="",AJ25="Нет"),"Право собственности",""),IF(OR(AK25="",AK25="Нет"),"Справка об отсутствии обременений",""))))</f>
        <v/>
      </c>
      <c r="AN25" s="35">
        <f>IF(NOT(COUNTA(A25:AL25)&gt;0),"",IF(TEXTJOIN(", ",TRUE,IF(AH25="","Описание",""),IF(AND(AE25&lt;&gt;"",AE25&gt;=1,AE25&lt;5),"Фото меньше 5",""),IF(AG25="","Видео",""),IF(H25="","Кадастровый номер",""),IF(AF25="","Ссылка на фото",""))="","",TEXTJOIN(", ",TRUE,IF(AH25="","Описание",""),IF(AND(AE25&lt;&gt;"",AE25&gt;=1,AE25&lt;5),"Фото меньше 5",""),IF(AG25="","Видео",""),IF(H25="","Кадастровый номер",""),IF(AF25="","Ссылка на фото",""))))</f>
        <v/>
      </c>
      <c r="AO25" s="35">
        <f>IF(NOT(COUNTA(A25:AL25)&gt;0),"",IF(AM25="","Можно публиковать","Не хватает"))</f>
        <v/>
      </c>
    </row>
    <row r="26" ht="22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7" t="n"/>
      <c r="K26" s="37" t="n"/>
      <c r="L26" s="37" t="n"/>
      <c r="M26" s="38" t="n"/>
      <c r="N26" s="38" t="n"/>
      <c r="O26" s="38" t="n"/>
      <c r="P26" s="38" t="n"/>
      <c r="Q26" s="38" t="n"/>
      <c r="R26" s="38" t="n"/>
      <c r="S26" s="36" t="n"/>
      <c r="T26" s="36" t="n"/>
      <c r="U26" s="36" t="n"/>
      <c r="V26" s="36" t="n"/>
      <c r="W26" s="39" t="n"/>
      <c r="X26" s="39" t="n"/>
      <c r="Y26" s="39" t="n"/>
      <c r="Z26" s="40" t="n"/>
      <c r="AA26" s="40" t="n"/>
      <c r="AB26" s="36" t="n"/>
      <c r="AC26" s="39" t="n"/>
      <c r="AD26" s="39" t="n"/>
      <c r="AE26" s="38" t="n"/>
      <c r="AF26" s="36" t="n"/>
      <c r="AG26" s="36" t="n"/>
      <c r="AH26" s="36" t="n"/>
      <c r="AI26" s="36" t="n"/>
      <c r="AJ26" s="36" t="n"/>
      <c r="AK26" s="36" t="n"/>
      <c r="AL26" s="36" t="n"/>
      <c r="AM26" s="35">
        <f>IF(NOT(COUNTA(A26:AL26)&gt;0),"",IF(TEXTJOIN(", ",TRUE,IF(B26="","Название",""),IF(C26="","Тип недвижимости",""),IF(D26="","Страна",""),IF(E26="","Город",""),IF(F26="","Улица",""),IF(I26="","Валюта",""),IF(OR(AE26="",AE26&lt;1),"Хотя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земли",""),IF(OR(X26="",X26&lt;=0),"Минимальная цена продажи",""),IF(OR(Y26="",Y26&lt;=0),"Стартовая ставка",""),IF(Z26="","Начало аукциона",""),IF(AA26="","Окончание аукциона",""),IF(AND(W26&lt;&gt;"",X26&lt;&gt;"",X26&gt;W26),"Минимальная цена выше «Продать сейчас»",""),IF(AND(W26&lt;&gt;"",X26&lt;&gt;"",X26&lt;=W26,X26&gt;W26*0.9),"Минимальная цена выше 90% от «Продать сейчас»",""),IF(AND(W26&lt;&gt;"",Y26&lt;&gt;"",Y26&gt;W26*0.3),"Стартовая ставка выше 30% от «Продать сейчас»",""),IF(AND(Z26&lt;&gt;"",AA26&lt;&gt;"",AA26&lt;EDATE(Z26,3)+15),"Аукцион короче 3 месяцев и 15 дней",""),IF(AND(AB26="Да",OR(AC26="",AC26&lt;=0)),"Цена тест-драйва за сутки",""),IF(OR(AJ26="",AJ26="Нет"),"Право собственности",""),IF(OR(AK26="",AK26="Нет"),"Справка об отсутствии обременений",""))="","",TEXTJOIN(", ",TRUE,IF(B26="","Название",""),IF(C26="","Тип недвижимости",""),IF(D26="","Страна",""),IF(E26="","Город",""),IF(F26="","Улица",""),IF(I26="","Валюта",""),IF(OR(AE26="",AE26&lt;1),"Хотя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земли",""),IF(OR(X26="",X26&lt;=0),"Минимальная цена продажи",""),IF(OR(Y26="",Y26&lt;=0),"Стартовая ставка",""),IF(Z26="","Начало аукциона",""),IF(AA26="","Окончание аукциона",""),IF(AND(W26&lt;&gt;"",X26&lt;&gt;"",X26&gt;W26),"Минимальная цена выше «Продать сейчас»",""),IF(AND(W26&lt;&gt;"",X26&lt;&gt;"",X26&lt;=W26,X26&gt;W26*0.9),"Минимальная цена выше 90% от «Продать сейчас»",""),IF(AND(W26&lt;&gt;"",Y26&lt;&gt;"",Y26&gt;W26*0.3),"Стартовая ставка выше 30% от «Продать сейчас»",""),IF(AND(Z26&lt;&gt;"",AA26&lt;&gt;"",AA26&lt;EDATE(Z26,3)+15),"Аукцион короче 3 месяцев и 15 дней",""),IF(AND(AB26="Да",OR(AC26="",AC26&lt;=0)),"Цена тест-драйва за сутки",""),IF(OR(AJ26="",AJ26="Нет"),"Право собственности",""),IF(OR(AK26="",AK26="Нет"),"Справка об отсутствии обременений",""))))</f>
        <v/>
      </c>
      <c r="AN26" s="35">
        <f>IF(NOT(COUNTA(A26:AL26)&gt;0),"",IF(TEXTJOIN(", ",TRUE,IF(AH26="","Описание",""),IF(AND(AE26&lt;&gt;"",AE26&gt;=1,AE26&lt;5),"Фото меньше 5",""),IF(AG26="","Видео",""),IF(H26="","Кадастровый номер",""),IF(AF26="","Ссылка на фото",""))="","",TEXTJOIN(", ",TRUE,IF(AH26="","Описание",""),IF(AND(AE26&lt;&gt;"",AE26&gt;=1,AE26&lt;5),"Фото меньше 5",""),IF(AG26="","Видео",""),IF(H26="","Кадастровый номер",""),IF(AF26="","Ссылка на фото",""))))</f>
        <v/>
      </c>
      <c r="AO26" s="35">
        <f>IF(NOT(COUNTA(A26:AL26)&gt;0),"",IF(AM26="","Можно публиковать","Не хватает"))</f>
        <v/>
      </c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 t="n"/>
      <c r="K27" s="31" t="n"/>
      <c r="L27" s="31" t="n"/>
      <c r="M27" s="32" t="n"/>
      <c r="N27" s="32" t="n"/>
      <c r="O27" s="32" t="n"/>
      <c r="P27" s="32" t="n"/>
      <c r="Q27" s="32" t="n"/>
      <c r="R27" s="32" t="n"/>
      <c r="S27" s="30" t="n"/>
      <c r="T27" s="30" t="n"/>
      <c r="U27" s="30" t="n"/>
      <c r="V27" s="30" t="n"/>
      <c r="W27" s="33" t="n"/>
      <c r="X27" s="33" t="n"/>
      <c r="Y27" s="33" t="n"/>
      <c r="Z27" s="34" t="n"/>
      <c r="AA27" s="34" t="n"/>
      <c r="AB27" s="30" t="n"/>
      <c r="AC27" s="33" t="n"/>
      <c r="AD27" s="33" t="n"/>
      <c r="AE27" s="32" t="n"/>
      <c r="AF27" s="30" t="n"/>
      <c r="AG27" s="30" t="n"/>
      <c r="AH27" s="30" t="n"/>
      <c r="AI27" s="30" t="n"/>
      <c r="AJ27" s="30" t="n"/>
      <c r="AK27" s="30" t="n"/>
      <c r="AL27" s="30" t="n"/>
      <c r="AM27" s="35">
        <f>IF(NOT(COUNTA(A27:AL27)&gt;0),"",IF(TEXTJOIN(", ",TRUE,IF(B27="","Название",""),IF(C27="","Тип недвижимости",""),IF(D27="","Страна",""),IF(E27="","Город",""),IF(F27="","Улица",""),IF(I27="","Валюта",""),IF(OR(AE27="",AE27&lt;1),"Хотя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земли",""),IF(OR(X27="",X27&lt;=0),"Минимальная цена продажи",""),IF(OR(Y27="",Y27&lt;=0),"Стартовая ставка",""),IF(Z27="","Начало аукциона",""),IF(AA27="","Окончание аукциона",""),IF(AND(W27&lt;&gt;"",X27&lt;&gt;"",X27&gt;W27),"Минимальная цена выше «Продать сейчас»",""),IF(AND(W27&lt;&gt;"",X27&lt;&gt;"",X27&lt;=W27,X27&gt;W27*0.9),"Минимальная цена выше 90% от «Продать сейчас»",""),IF(AND(W27&lt;&gt;"",Y27&lt;&gt;"",Y27&gt;W27*0.3),"Стартовая ставка выше 30% от «Продать сейчас»",""),IF(AND(Z27&lt;&gt;"",AA27&lt;&gt;"",AA27&lt;EDATE(Z27,3)+15),"Аукцион короче 3 месяцев и 15 дней",""),IF(AND(AB27="Да",OR(AC27="",AC27&lt;=0)),"Цена тест-драйва за сутки",""),IF(OR(AJ27="",AJ27="Нет"),"Право собственности",""),IF(OR(AK27="",AK27="Нет"),"Справка об отсутствии обременений",""))="","",TEXTJOIN(", ",TRUE,IF(B27="","Название",""),IF(C27="","Тип недвижимости",""),IF(D27="","Страна",""),IF(E27="","Город",""),IF(F27="","Улица",""),IF(I27="","Валюта",""),IF(OR(AE27="",AE27&lt;1),"Хотя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земли",""),IF(OR(X27="",X27&lt;=0),"Минимальная цена продажи",""),IF(OR(Y27="",Y27&lt;=0),"Стартовая ставка",""),IF(Z27="","Начало аукциона",""),IF(AA27="","Окончание аукциона",""),IF(AND(W27&lt;&gt;"",X27&lt;&gt;"",X27&gt;W27),"Минимальная цена выше «Продать сейчас»",""),IF(AND(W27&lt;&gt;"",X27&lt;&gt;"",X27&lt;=W27,X27&gt;W27*0.9),"Минимальная цена выше 90% от «Продать сейчас»",""),IF(AND(W27&lt;&gt;"",Y27&lt;&gt;"",Y27&gt;W27*0.3),"Стартовая ставка выше 30% от «Продать сейчас»",""),IF(AND(Z27&lt;&gt;"",AA27&lt;&gt;"",AA27&lt;EDATE(Z27,3)+15),"Аукцион короче 3 месяцев и 15 дней",""),IF(AND(AB27="Да",OR(AC27="",AC27&lt;=0)),"Цена тест-драйва за сутки",""),IF(OR(AJ27="",AJ27="Нет"),"Право собственности",""),IF(OR(AK27="",AK27="Нет"),"Справка об отсутствии обременений",""))))</f>
        <v/>
      </c>
      <c r="AN27" s="35">
        <f>IF(NOT(COUNTA(A27:AL27)&gt;0),"",IF(TEXTJOIN(", ",TRUE,IF(AH27="","Описание",""),IF(AND(AE27&lt;&gt;"",AE27&gt;=1,AE27&lt;5),"Фото меньше 5",""),IF(AG27="","Видео",""),IF(H27="","Кадастровый номер",""),IF(AF27="","Ссылка на фото",""))="","",TEXTJOIN(", ",TRUE,IF(AH27="","Описание",""),IF(AND(AE27&lt;&gt;"",AE27&gt;=1,AE27&lt;5),"Фото меньше 5",""),IF(AG27="","Видео",""),IF(H27="","Кадастровый номер",""),IF(AF27="","Ссылка на фото",""))))</f>
        <v/>
      </c>
      <c r="AO27" s="35">
        <f>IF(NOT(COUNTA(A27:AL27)&gt;0),"",IF(AM27="","Можно публиковать","Не хватает"))</f>
        <v/>
      </c>
    </row>
    <row r="28" ht="22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7" t="n"/>
      <c r="K28" s="37" t="n"/>
      <c r="L28" s="37" t="n"/>
      <c r="M28" s="38" t="n"/>
      <c r="N28" s="38" t="n"/>
      <c r="O28" s="38" t="n"/>
      <c r="P28" s="38" t="n"/>
      <c r="Q28" s="38" t="n"/>
      <c r="R28" s="38" t="n"/>
      <c r="S28" s="36" t="n"/>
      <c r="T28" s="36" t="n"/>
      <c r="U28" s="36" t="n"/>
      <c r="V28" s="36" t="n"/>
      <c r="W28" s="39" t="n"/>
      <c r="X28" s="39" t="n"/>
      <c r="Y28" s="39" t="n"/>
      <c r="Z28" s="40" t="n"/>
      <c r="AA28" s="40" t="n"/>
      <c r="AB28" s="36" t="n"/>
      <c r="AC28" s="39" t="n"/>
      <c r="AD28" s="39" t="n"/>
      <c r="AE28" s="38" t="n"/>
      <c r="AF28" s="36" t="n"/>
      <c r="AG28" s="36" t="n"/>
      <c r="AH28" s="36" t="n"/>
      <c r="AI28" s="36" t="n"/>
      <c r="AJ28" s="36" t="n"/>
      <c r="AK28" s="36" t="n"/>
      <c r="AL28" s="36" t="n"/>
      <c r="AM28" s="35">
        <f>IF(NOT(COUNTA(A28:AL28)&gt;0),"",IF(TEXTJOIN(", ",TRUE,IF(B28="","Название",""),IF(C28="","Тип недвижимости",""),IF(D28="","Страна",""),IF(E28="","Город",""),IF(F28="","Улица",""),IF(I28="","Валюта",""),IF(OR(AE28="",AE28&lt;1),"Хотя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земли",""),IF(OR(X28="",X28&lt;=0),"Минимальная цена продажи",""),IF(OR(Y28="",Y28&lt;=0),"Стартовая ставка",""),IF(Z28="","Начало аукциона",""),IF(AA28="","Окончание аукциона",""),IF(AND(W28&lt;&gt;"",X28&lt;&gt;"",X28&gt;W28),"Минимальная цена выше «Продать сейчас»",""),IF(AND(W28&lt;&gt;"",X28&lt;&gt;"",X28&lt;=W28,X28&gt;W28*0.9),"Минимальная цена выше 90% от «Продать сейчас»",""),IF(AND(W28&lt;&gt;"",Y28&lt;&gt;"",Y28&gt;W28*0.3),"Стартовая ставка выше 30% от «Продать сейчас»",""),IF(AND(Z28&lt;&gt;"",AA28&lt;&gt;"",AA28&lt;EDATE(Z28,3)+15),"Аукцион короче 3 месяцев и 15 дней",""),IF(AND(AB28="Да",OR(AC28="",AC28&lt;=0)),"Цена тест-драйва за сутки",""),IF(OR(AJ28="",AJ28="Нет"),"Право собственности",""),IF(OR(AK28="",AK28="Нет"),"Справка об отсутствии обременений",""))="","",TEXTJOIN(", ",TRUE,IF(B28="","Название",""),IF(C28="","Тип недвижимости",""),IF(D28="","Страна",""),IF(E28="","Город",""),IF(F28="","Улица",""),IF(I28="","Валюта",""),IF(OR(AE28="",AE28&lt;1),"Хотя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земли",""),IF(OR(X28="",X28&lt;=0),"Минимальная цена продажи",""),IF(OR(Y28="",Y28&lt;=0),"Стартовая ставка",""),IF(Z28="","Начало аукциона",""),IF(AA28="","Окончание аукциона",""),IF(AND(W28&lt;&gt;"",X28&lt;&gt;"",X28&gt;W28),"Минимальная цена выше «Продать сейчас»",""),IF(AND(W28&lt;&gt;"",X28&lt;&gt;"",X28&lt;=W28,X28&gt;W28*0.9),"Минимальная цена выше 90% от «Продать сейчас»",""),IF(AND(W28&lt;&gt;"",Y28&lt;&gt;"",Y28&gt;W28*0.3),"Стартовая ставка выше 30% от «Продать сейчас»",""),IF(AND(Z28&lt;&gt;"",AA28&lt;&gt;"",AA28&lt;EDATE(Z28,3)+15),"Аукцион короче 3 месяцев и 15 дней",""),IF(AND(AB28="Да",OR(AC28="",AC28&lt;=0)),"Цена тест-драйва за сутки",""),IF(OR(AJ28="",AJ28="Нет"),"Право собственности",""),IF(OR(AK28="",AK28="Нет"),"Справка об отсутствии обременений",""))))</f>
        <v/>
      </c>
      <c r="AN28" s="35">
        <f>IF(NOT(COUNTA(A28:AL28)&gt;0),"",IF(TEXTJOIN(", ",TRUE,IF(AH28="","Описание",""),IF(AND(AE28&lt;&gt;"",AE28&gt;=1,AE28&lt;5),"Фото меньше 5",""),IF(AG28="","Видео",""),IF(H28="","Кадастровый номер",""),IF(AF28="","Ссылка на фото",""))="","",TEXTJOIN(", ",TRUE,IF(AH28="","Описание",""),IF(AND(AE28&lt;&gt;"",AE28&gt;=1,AE28&lt;5),"Фото меньше 5",""),IF(AG28="","Видео",""),IF(H28="","Кадастровый номер",""),IF(AF28="","Ссылка на фото",""))))</f>
        <v/>
      </c>
      <c r="AO28" s="35">
        <f>IF(NOT(COUNTA(A28:AL28)&gt;0),"",IF(AM28="","Можно публиковать","Не хватает"))</f>
        <v/>
      </c>
    </row>
    <row r="29" ht="22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 t="n"/>
      <c r="K29" s="31" t="n"/>
      <c r="L29" s="31" t="n"/>
      <c r="M29" s="32" t="n"/>
      <c r="N29" s="32" t="n"/>
      <c r="O29" s="32" t="n"/>
      <c r="P29" s="32" t="n"/>
      <c r="Q29" s="32" t="n"/>
      <c r="R29" s="32" t="n"/>
      <c r="S29" s="30" t="n"/>
      <c r="T29" s="30" t="n"/>
      <c r="U29" s="30" t="n"/>
      <c r="V29" s="30" t="n"/>
      <c r="W29" s="33" t="n"/>
      <c r="X29" s="33" t="n"/>
      <c r="Y29" s="33" t="n"/>
      <c r="Z29" s="34" t="n"/>
      <c r="AA29" s="34" t="n"/>
      <c r="AB29" s="30" t="n"/>
      <c r="AC29" s="33" t="n"/>
      <c r="AD29" s="33" t="n"/>
      <c r="AE29" s="32" t="n"/>
      <c r="AF29" s="30" t="n"/>
      <c r="AG29" s="30" t="n"/>
      <c r="AH29" s="30" t="n"/>
      <c r="AI29" s="30" t="n"/>
      <c r="AJ29" s="30" t="n"/>
      <c r="AK29" s="30" t="n"/>
      <c r="AL29" s="30" t="n"/>
      <c r="AM29" s="35">
        <f>IF(NOT(COUNTA(A29:AL29)&gt;0),"",IF(TEXTJOIN(", ",TRUE,IF(B29="","Название",""),IF(C29="","Тип недвижимости",""),IF(D29="","Страна",""),IF(E29="","Город",""),IF(F29="","Улица",""),IF(I29="","Валюта",""),IF(OR(AE29="",AE29&lt;1),"Хотя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земли",""),IF(OR(X29="",X29&lt;=0),"Минимальная цена продажи",""),IF(OR(Y29="",Y29&lt;=0),"Стартовая ставка",""),IF(Z29="","Начало аукциона",""),IF(AA29="","Окончание аукциона",""),IF(AND(W29&lt;&gt;"",X29&lt;&gt;"",X29&gt;W29),"Минимальная цена выше «Продать сейчас»",""),IF(AND(W29&lt;&gt;"",X29&lt;&gt;"",X29&lt;=W29,X29&gt;W29*0.9),"Минимальная цена выше 90% от «Продать сейчас»",""),IF(AND(W29&lt;&gt;"",Y29&lt;&gt;"",Y29&gt;W29*0.3),"Стартовая ставка выше 30% от «Продать сейчас»",""),IF(AND(Z29&lt;&gt;"",AA29&lt;&gt;"",AA29&lt;EDATE(Z29,3)+15),"Аукцион короче 3 месяцев и 15 дней",""),IF(AND(AB29="Да",OR(AC29="",AC29&lt;=0)),"Цена тест-драйва за сутки",""),IF(OR(AJ29="",AJ29="Нет"),"Право собственности",""),IF(OR(AK29="",AK29="Нет"),"Справка об отсутствии обременений",""))="","",TEXTJOIN(", ",TRUE,IF(B29="","Название",""),IF(C29="","Тип недвижимости",""),IF(D29="","Страна",""),IF(E29="","Город",""),IF(F29="","Улица",""),IF(I29="","Валюта",""),IF(OR(AE29="",AE29&lt;1),"Хотя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земли",""),IF(OR(X29="",X29&lt;=0),"Минимальная цена продажи",""),IF(OR(Y29="",Y29&lt;=0),"Стартовая ставка",""),IF(Z29="","Начало аукциона",""),IF(AA29="","Окончание аукциона",""),IF(AND(W29&lt;&gt;"",X29&lt;&gt;"",X29&gt;W29),"Минимальная цена выше «Продать сейчас»",""),IF(AND(W29&lt;&gt;"",X29&lt;&gt;"",X29&lt;=W29,X29&gt;W29*0.9),"Минимальная цена выше 90% от «Продать сейчас»",""),IF(AND(W29&lt;&gt;"",Y29&lt;&gt;"",Y29&gt;W29*0.3),"Стартовая ставка выше 30% от «Продать сейчас»",""),IF(AND(Z29&lt;&gt;"",AA29&lt;&gt;"",AA29&lt;EDATE(Z29,3)+15),"Аукцион короче 3 месяцев и 15 дней",""),IF(AND(AB29="Да",OR(AC29="",AC29&lt;=0)),"Цена тест-драйва за сутки",""),IF(OR(AJ29="",AJ29="Нет"),"Право собственности",""),IF(OR(AK29="",AK29="Нет"),"Справка об отсутствии обременений",""))))</f>
        <v/>
      </c>
      <c r="AN29" s="35">
        <f>IF(NOT(COUNTA(A29:AL29)&gt;0),"",IF(TEXTJOIN(", ",TRUE,IF(AH29="","Описание",""),IF(AND(AE29&lt;&gt;"",AE29&gt;=1,AE29&lt;5),"Фото меньше 5",""),IF(AG29="","Видео",""),IF(H29="","Кадастровый номер",""),IF(AF29="","Ссылка на фото",""))="","",TEXTJOIN(", ",TRUE,IF(AH29="","Описание",""),IF(AND(AE29&lt;&gt;"",AE29&gt;=1,AE29&lt;5),"Фото меньше 5",""),IF(AG29="","Видео",""),IF(H29="","Кадастровый номер",""),IF(AF29="","Ссылка на фото",""))))</f>
        <v/>
      </c>
      <c r="AO29" s="35">
        <f>IF(NOT(COUNTA(A29:AL29)&gt;0),"",IF(AM29="","Можно публиковать","Не хватает"))</f>
        <v/>
      </c>
    </row>
    <row r="30" ht="22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7" t="n"/>
      <c r="K30" s="37" t="n"/>
      <c r="L30" s="37" t="n"/>
      <c r="M30" s="38" t="n"/>
      <c r="N30" s="38" t="n"/>
      <c r="O30" s="38" t="n"/>
      <c r="P30" s="38" t="n"/>
      <c r="Q30" s="38" t="n"/>
      <c r="R30" s="38" t="n"/>
      <c r="S30" s="36" t="n"/>
      <c r="T30" s="36" t="n"/>
      <c r="U30" s="36" t="n"/>
      <c r="V30" s="36" t="n"/>
      <c r="W30" s="39" t="n"/>
      <c r="X30" s="39" t="n"/>
      <c r="Y30" s="39" t="n"/>
      <c r="Z30" s="40" t="n"/>
      <c r="AA30" s="40" t="n"/>
      <c r="AB30" s="36" t="n"/>
      <c r="AC30" s="39" t="n"/>
      <c r="AD30" s="39" t="n"/>
      <c r="AE30" s="38" t="n"/>
      <c r="AF30" s="36" t="n"/>
      <c r="AG30" s="36" t="n"/>
      <c r="AH30" s="36" t="n"/>
      <c r="AI30" s="36" t="n"/>
      <c r="AJ30" s="36" t="n"/>
      <c r="AK30" s="36" t="n"/>
      <c r="AL30" s="36" t="n"/>
      <c r="AM30" s="35">
        <f>IF(NOT(COUNTA(A30:AL30)&gt;0),"",IF(TEXTJOIN(", ",TRUE,IF(B30="","Название",""),IF(C30="","Тип недвижимости",""),IF(D30="","Страна",""),IF(E30="","Город",""),IF(F30="","Улица",""),IF(I30="","Валюта",""),IF(OR(AE30="",AE30&lt;1),"Хотя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земли",""),IF(OR(X30="",X30&lt;=0),"Минимальная цена продажи",""),IF(OR(Y30="",Y30&lt;=0),"Стартовая ставка",""),IF(Z30="","Начало аукциона",""),IF(AA30="","Окончание аукциона",""),IF(AND(W30&lt;&gt;"",X30&lt;&gt;"",X30&gt;W30),"Минимальная цена выше «Продать сейчас»",""),IF(AND(W30&lt;&gt;"",X30&lt;&gt;"",X30&lt;=W30,X30&gt;W30*0.9),"Минимальная цена выше 90% от «Продать сейчас»",""),IF(AND(W30&lt;&gt;"",Y30&lt;&gt;"",Y30&gt;W30*0.3),"Стартовая ставка выше 30% от «Продать сейчас»",""),IF(AND(Z30&lt;&gt;"",AA30&lt;&gt;"",AA30&lt;EDATE(Z30,3)+15),"Аукцион короче 3 месяцев и 15 дней",""),IF(AND(AB30="Да",OR(AC30="",AC30&lt;=0)),"Цена тест-драйва за сутки",""),IF(OR(AJ30="",AJ30="Нет"),"Право собственности",""),IF(OR(AK30="",AK30="Нет"),"Справка об отсутствии обременений",""))="","",TEXTJOIN(", ",TRUE,IF(B30="","Название",""),IF(C30="","Тип недвижимости",""),IF(D30="","Страна",""),IF(E30="","Город",""),IF(F30="","Улица",""),IF(I30="","Валюта",""),IF(OR(AE30="",AE30&lt;1),"Хотя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земли",""),IF(OR(X30="",X30&lt;=0),"Минимальная цена продажи",""),IF(OR(Y30="",Y30&lt;=0),"Стартовая ставка",""),IF(Z30="","Начало аукциона",""),IF(AA30="","Окончание аукциона",""),IF(AND(W30&lt;&gt;"",X30&lt;&gt;"",X30&gt;W30),"Минимальная цена выше «Продать сейчас»",""),IF(AND(W30&lt;&gt;"",X30&lt;&gt;"",X30&lt;=W30,X30&gt;W30*0.9),"Минимальная цена выше 90% от «Продать сейчас»",""),IF(AND(W30&lt;&gt;"",Y30&lt;&gt;"",Y30&gt;W30*0.3),"Стартовая ставка выше 30% от «Продать сейчас»",""),IF(AND(Z30&lt;&gt;"",AA30&lt;&gt;"",AA30&lt;EDATE(Z30,3)+15),"Аукцион короче 3 месяцев и 15 дней",""),IF(AND(AB30="Да",OR(AC30="",AC30&lt;=0)),"Цена тест-драйва за сутки",""),IF(OR(AJ30="",AJ30="Нет"),"Право собственности",""),IF(OR(AK30="",AK30="Нет"),"Справка об отсутствии обременений",""))))</f>
        <v/>
      </c>
      <c r="AN30" s="35">
        <f>IF(NOT(COUNTA(A30:AL30)&gt;0),"",IF(TEXTJOIN(", ",TRUE,IF(AH30="","Описание",""),IF(AND(AE30&lt;&gt;"",AE30&gt;=1,AE30&lt;5),"Фото меньше 5",""),IF(AG30="","Видео",""),IF(H30="","Кадастровый номер",""),IF(AF30="","Ссылка на фото",""))="","",TEXTJOIN(", ",TRUE,IF(AH30="","Описание",""),IF(AND(AE30&lt;&gt;"",AE30&gt;=1,AE30&lt;5),"Фото меньше 5",""),IF(AG30="","Видео",""),IF(H30="","Кадастровый номер",""),IF(AF30="","Ссылка на фото",""))))</f>
        <v/>
      </c>
      <c r="AO30" s="35">
        <f>IF(NOT(COUNTA(A30:AL30)&gt;0),"",IF(AM30="","Можно публиковать","Не хватает"))</f>
        <v/>
      </c>
    </row>
    <row r="31" ht="22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 t="n"/>
      <c r="K31" s="31" t="n"/>
      <c r="L31" s="31" t="n"/>
      <c r="M31" s="32" t="n"/>
      <c r="N31" s="32" t="n"/>
      <c r="O31" s="32" t="n"/>
      <c r="P31" s="32" t="n"/>
      <c r="Q31" s="32" t="n"/>
      <c r="R31" s="32" t="n"/>
      <c r="S31" s="30" t="n"/>
      <c r="T31" s="30" t="n"/>
      <c r="U31" s="30" t="n"/>
      <c r="V31" s="30" t="n"/>
      <c r="W31" s="33" t="n"/>
      <c r="X31" s="33" t="n"/>
      <c r="Y31" s="33" t="n"/>
      <c r="Z31" s="34" t="n"/>
      <c r="AA31" s="34" t="n"/>
      <c r="AB31" s="30" t="n"/>
      <c r="AC31" s="33" t="n"/>
      <c r="AD31" s="33" t="n"/>
      <c r="AE31" s="32" t="n"/>
      <c r="AF31" s="30" t="n"/>
      <c r="AG31" s="30" t="n"/>
      <c r="AH31" s="30" t="n"/>
      <c r="AI31" s="30" t="n"/>
      <c r="AJ31" s="30" t="n"/>
      <c r="AK31" s="30" t="n"/>
      <c r="AL31" s="30" t="n"/>
      <c r="AM31" s="35">
        <f>IF(NOT(COUNTA(A31:AL31)&gt;0),"",IF(TEXTJOIN(", ",TRUE,IF(B31="","Название",""),IF(C31="","Тип недвижимости",""),IF(D31="","Страна",""),IF(E31="","Город",""),IF(F31="","Улица",""),IF(I31="","Валюта",""),IF(OR(AE31="",AE31&lt;1),"Хотя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земли",""),IF(OR(X31="",X31&lt;=0),"Минимальная цена продажи",""),IF(OR(Y31="",Y31&lt;=0),"Стартовая ставка",""),IF(Z31="","Начало аукциона",""),IF(AA31="","Окончание аукциона",""),IF(AND(W31&lt;&gt;"",X31&lt;&gt;"",X31&gt;W31),"Минимальная цена выше «Продать сейчас»",""),IF(AND(W31&lt;&gt;"",X31&lt;&gt;"",X31&lt;=W31,X31&gt;W31*0.9),"Минимальная цена выше 90% от «Продать сейчас»",""),IF(AND(W31&lt;&gt;"",Y31&lt;&gt;"",Y31&gt;W31*0.3),"Стартовая ставка выше 30% от «Продать сейчас»",""),IF(AND(Z31&lt;&gt;"",AA31&lt;&gt;"",AA31&lt;EDATE(Z31,3)+15),"Аукцион короче 3 месяцев и 15 дней",""),IF(AND(AB31="Да",OR(AC31="",AC31&lt;=0)),"Цена тест-драйва за сутки",""),IF(OR(AJ31="",AJ31="Нет"),"Право собственности",""),IF(OR(AK31="",AK31="Нет"),"Справка об отсутствии обременений",""))="","",TEXTJOIN(", ",TRUE,IF(B31="","Название",""),IF(C31="","Тип недвижимости",""),IF(D31="","Страна",""),IF(E31="","Город",""),IF(F31="","Улица",""),IF(I31="","Валюта",""),IF(OR(AE31="",AE31&lt;1),"Хотя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земли",""),IF(OR(X31="",X31&lt;=0),"Минимальная цена продажи",""),IF(OR(Y31="",Y31&lt;=0),"Стартовая ставка",""),IF(Z31="","Начало аукциона",""),IF(AA31="","Окончание аукциона",""),IF(AND(W31&lt;&gt;"",X31&lt;&gt;"",X31&gt;W31),"Минимальная цена выше «Продать сейчас»",""),IF(AND(W31&lt;&gt;"",X31&lt;&gt;"",X31&lt;=W31,X31&gt;W31*0.9),"Минимальная цена выше 90% от «Продать сейчас»",""),IF(AND(W31&lt;&gt;"",Y31&lt;&gt;"",Y31&gt;W31*0.3),"Стартовая ставка выше 30% от «Продать сейчас»",""),IF(AND(Z31&lt;&gt;"",AA31&lt;&gt;"",AA31&lt;EDATE(Z31,3)+15),"Аукцион короче 3 месяцев и 15 дней",""),IF(AND(AB31="Да",OR(AC31="",AC31&lt;=0)),"Цена тест-драйва за сутки",""),IF(OR(AJ31="",AJ31="Нет"),"Право собственности",""),IF(OR(AK31="",AK31="Нет"),"Справка об отсутствии обременений",""))))</f>
        <v/>
      </c>
      <c r="AN31" s="35">
        <f>IF(NOT(COUNTA(A31:AL31)&gt;0),"",IF(TEXTJOIN(", ",TRUE,IF(AH31="","Описание",""),IF(AND(AE31&lt;&gt;"",AE31&gt;=1,AE31&lt;5),"Фото меньше 5",""),IF(AG31="","Видео",""),IF(H31="","Кадастровый номер",""),IF(AF31="","Ссылка на фото",""))="","",TEXTJOIN(", ",TRUE,IF(AH31="","Описание",""),IF(AND(AE31&lt;&gt;"",AE31&gt;=1,AE31&lt;5),"Фото меньше 5",""),IF(AG31="","Видео",""),IF(H31="","Кадастровый номер",""),IF(AF31="","Ссылка на фото",""))))</f>
        <v/>
      </c>
      <c r="AO31" s="35">
        <f>IF(NOT(COUNTA(A31:AL31)&gt;0),"",IF(AM31="","Можно публиковать","Не хватает"))</f>
        <v/>
      </c>
    </row>
    <row r="32" ht="22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37" t="n"/>
      <c r="M32" s="38" t="n"/>
      <c r="N32" s="38" t="n"/>
      <c r="O32" s="38" t="n"/>
      <c r="P32" s="38" t="n"/>
      <c r="Q32" s="38" t="n"/>
      <c r="R32" s="38" t="n"/>
      <c r="S32" s="36" t="n"/>
      <c r="T32" s="36" t="n"/>
      <c r="U32" s="36" t="n"/>
      <c r="V32" s="36" t="n"/>
      <c r="W32" s="39" t="n"/>
      <c r="X32" s="39" t="n"/>
      <c r="Y32" s="39" t="n"/>
      <c r="Z32" s="40" t="n"/>
      <c r="AA32" s="40" t="n"/>
      <c r="AB32" s="36" t="n"/>
      <c r="AC32" s="39" t="n"/>
      <c r="AD32" s="39" t="n"/>
      <c r="AE32" s="38" t="n"/>
      <c r="AF32" s="36" t="n"/>
      <c r="AG32" s="36" t="n"/>
      <c r="AH32" s="36" t="n"/>
      <c r="AI32" s="36" t="n"/>
      <c r="AJ32" s="36" t="n"/>
      <c r="AK32" s="36" t="n"/>
      <c r="AL32" s="36" t="n"/>
      <c r="AM32" s="35">
        <f>IF(NOT(COUNTA(A32:AL32)&gt;0),"",IF(TEXTJOIN(", ",TRUE,IF(B32="","Название",""),IF(C32="","Тип недвижимости",""),IF(D32="","Страна",""),IF(E32="","Город",""),IF(F32="","Улица",""),IF(I32="","Валюта",""),IF(OR(AE32="",AE32&lt;1),"Хотя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земли",""),IF(OR(X32="",X32&lt;=0),"Минимальная цена продажи",""),IF(OR(Y32="",Y32&lt;=0),"Стартовая ставка",""),IF(Z32="","Начало аукциона",""),IF(AA32="","Окончание аукциона",""),IF(AND(W32&lt;&gt;"",X32&lt;&gt;"",X32&gt;W32),"Минимальная цена выше «Продать сейчас»",""),IF(AND(W32&lt;&gt;"",X32&lt;&gt;"",X32&lt;=W32,X32&gt;W32*0.9),"Минимальная цена выше 90% от «Продать сейчас»",""),IF(AND(W32&lt;&gt;"",Y32&lt;&gt;"",Y32&gt;W32*0.3),"Стартовая ставка выше 30% от «Продать сейчас»",""),IF(AND(Z32&lt;&gt;"",AA32&lt;&gt;"",AA32&lt;EDATE(Z32,3)+15),"Аукцион короче 3 месяцев и 15 дней",""),IF(AND(AB32="Да",OR(AC32="",AC32&lt;=0)),"Цена тест-драйва за сутки",""),IF(OR(AJ32="",AJ32="Нет"),"Право собственности",""),IF(OR(AK32="",AK32="Нет"),"Справка об отсутствии обременений",""))="","",TEXTJOIN(", ",TRUE,IF(B32="","Название",""),IF(C32="","Тип недвижимости",""),IF(D32="","Страна",""),IF(E32="","Город",""),IF(F32="","Улица",""),IF(I32="","Валюта",""),IF(OR(AE32="",AE32&lt;1),"Хотя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земли",""),IF(OR(X32="",X32&lt;=0),"Минимальная цена продажи",""),IF(OR(Y32="",Y32&lt;=0),"Стартовая ставка",""),IF(Z32="","Начало аукциона",""),IF(AA32="","Окончание аукциона",""),IF(AND(W32&lt;&gt;"",X32&lt;&gt;"",X32&gt;W32),"Минимальная цена выше «Продать сейчас»",""),IF(AND(W32&lt;&gt;"",X32&lt;&gt;"",X32&lt;=W32,X32&gt;W32*0.9),"Минимальная цена выше 90% от «Продать сейчас»",""),IF(AND(W32&lt;&gt;"",Y32&lt;&gt;"",Y32&gt;W32*0.3),"Стартовая ставка выше 30% от «Продать сейчас»",""),IF(AND(Z32&lt;&gt;"",AA32&lt;&gt;"",AA32&lt;EDATE(Z32,3)+15),"Аукцион короче 3 месяцев и 15 дней",""),IF(AND(AB32="Да",OR(AC32="",AC32&lt;=0)),"Цена тест-драйва за сутки",""),IF(OR(AJ32="",AJ32="Нет"),"Право собственности",""),IF(OR(AK32="",AK32="Нет"),"Справка об отсутствии обременений",""))))</f>
        <v/>
      </c>
      <c r="AN32" s="35">
        <f>IF(NOT(COUNTA(A32:AL32)&gt;0),"",IF(TEXTJOIN(", ",TRUE,IF(AH32="","Описание",""),IF(AND(AE32&lt;&gt;"",AE32&gt;=1,AE32&lt;5),"Фото меньше 5",""),IF(AG32="","Видео",""),IF(H32="","Кадастровый номер",""),IF(AF32="","Ссылка на фото",""))="","",TEXTJOIN(", ",TRUE,IF(AH32="","Описание",""),IF(AND(AE32&lt;&gt;"",AE32&gt;=1,AE32&lt;5),"Фото меньше 5",""),IF(AG32="","Видео",""),IF(H32="","Кадастровый номер",""),IF(AF32="","Ссылка на фото",""))))</f>
        <v/>
      </c>
      <c r="AO32" s="35">
        <f>IF(NOT(COUNTA(A32:AL32)&gt;0),"",IF(AM32="","Можно публиковать","Не хватает"))</f>
        <v/>
      </c>
    </row>
    <row r="33" ht="22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  <c r="K33" s="31" t="n"/>
      <c r="L33" s="31" t="n"/>
      <c r="M33" s="32" t="n"/>
      <c r="N33" s="32" t="n"/>
      <c r="O33" s="32" t="n"/>
      <c r="P33" s="32" t="n"/>
      <c r="Q33" s="32" t="n"/>
      <c r="R33" s="32" t="n"/>
      <c r="S33" s="30" t="n"/>
      <c r="T33" s="30" t="n"/>
      <c r="U33" s="30" t="n"/>
      <c r="V33" s="30" t="n"/>
      <c r="W33" s="33" t="n"/>
      <c r="X33" s="33" t="n"/>
      <c r="Y33" s="33" t="n"/>
      <c r="Z33" s="34" t="n"/>
      <c r="AA33" s="34" t="n"/>
      <c r="AB33" s="30" t="n"/>
      <c r="AC33" s="33" t="n"/>
      <c r="AD33" s="33" t="n"/>
      <c r="AE33" s="32" t="n"/>
      <c r="AF33" s="30" t="n"/>
      <c r="AG33" s="30" t="n"/>
      <c r="AH33" s="30" t="n"/>
      <c r="AI33" s="30" t="n"/>
      <c r="AJ33" s="30" t="n"/>
      <c r="AK33" s="30" t="n"/>
      <c r="AL33" s="30" t="n"/>
      <c r="AM33" s="35">
        <f>IF(NOT(COUNTA(A33:AL33)&gt;0),"",IF(TEXTJOIN(", ",TRUE,IF(B33="","Название",""),IF(C33="","Тип недвижимости",""),IF(D33="","Страна",""),IF(E33="","Город",""),IF(F33="","Улица",""),IF(I33="","Валюта",""),IF(OR(AE33="",AE33&lt;1),"Хотя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земли",""),IF(OR(X33="",X33&lt;=0),"Минимальная цена продажи",""),IF(OR(Y33="",Y33&lt;=0),"Стартовая ставка",""),IF(Z33="","Начало аукциона",""),IF(AA33="","Окончание аукциона",""),IF(AND(W33&lt;&gt;"",X33&lt;&gt;"",X33&gt;W33),"Минимальная цена выше «Продать сейчас»",""),IF(AND(W33&lt;&gt;"",X33&lt;&gt;"",X33&lt;=W33,X33&gt;W33*0.9),"Минимальная цена выше 90% от «Продать сейчас»",""),IF(AND(W33&lt;&gt;"",Y33&lt;&gt;"",Y33&gt;W33*0.3),"Стартовая ставка выше 30% от «Продать сейчас»",""),IF(AND(Z33&lt;&gt;"",AA33&lt;&gt;"",AA33&lt;EDATE(Z33,3)+15),"Аукцион короче 3 месяцев и 15 дней",""),IF(AND(AB33="Да",OR(AC33="",AC33&lt;=0)),"Цена тест-драйва за сутки",""),IF(OR(AJ33="",AJ33="Нет"),"Право собственности",""),IF(OR(AK33="",AK33="Нет"),"Справка об отсутствии обременений",""))="","",TEXTJOIN(", ",TRUE,IF(B33="","Название",""),IF(C33="","Тип недвижимости",""),IF(D33="","Страна",""),IF(E33="","Город",""),IF(F33="","Улица",""),IF(I33="","Валюта",""),IF(OR(AE33="",AE33&lt;1),"Хотя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земли",""),IF(OR(X33="",X33&lt;=0),"Минимальная цена продажи",""),IF(OR(Y33="",Y33&lt;=0),"Стартовая ставка",""),IF(Z33="","Начало аукциона",""),IF(AA33="","Окончание аукциона",""),IF(AND(W33&lt;&gt;"",X33&lt;&gt;"",X33&gt;W33),"Минимальная цена выше «Продать сейчас»",""),IF(AND(W33&lt;&gt;"",X33&lt;&gt;"",X33&lt;=W33,X33&gt;W33*0.9),"Минимальная цена выше 90% от «Продать сейчас»",""),IF(AND(W33&lt;&gt;"",Y33&lt;&gt;"",Y33&gt;W33*0.3),"Стартовая ставка выше 30% от «Продать сейчас»",""),IF(AND(Z33&lt;&gt;"",AA33&lt;&gt;"",AA33&lt;EDATE(Z33,3)+15),"Аукцион короче 3 месяцев и 15 дней",""),IF(AND(AB33="Да",OR(AC33="",AC33&lt;=0)),"Цена тест-драйва за сутки",""),IF(OR(AJ33="",AJ33="Нет"),"Право собственности",""),IF(OR(AK33="",AK33="Нет"),"Справка об отсутствии обременений",""))))</f>
        <v/>
      </c>
      <c r="AN33" s="35">
        <f>IF(NOT(COUNTA(A33:AL33)&gt;0),"",IF(TEXTJOIN(", ",TRUE,IF(AH33="","Описание",""),IF(AND(AE33&lt;&gt;"",AE33&gt;=1,AE33&lt;5),"Фото меньше 5",""),IF(AG33="","Видео",""),IF(H33="","Кадастровый номер",""),IF(AF33="","Ссылка на фото",""))="","",TEXTJOIN(", ",TRUE,IF(AH33="","Описание",""),IF(AND(AE33&lt;&gt;"",AE33&gt;=1,AE33&lt;5),"Фото меньше 5",""),IF(AG33="","Видео",""),IF(H33="","Кадастровый номер",""),IF(AF33="","Ссылка на фото",""))))</f>
        <v/>
      </c>
      <c r="AO33" s="35">
        <f>IF(NOT(COUNTA(A33:AL33)&gt;0),"",IF(AM33="","Можно публиковать","Не хватает"))</f>
        <v/>
      </c>
    </row>
    <row r="34" ht="22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7" t="n"/>
      <c r="K34" s="37" t="n"/>
      <c r="L34" s="37" t="n"/>
      <c r="M34" s="38" t="n"/>
      <c r="N34" s="38" t="n"/>
      <c r="O34" s="38" t="n"/>
      <c r="P34" s="38" t="n"/>
      <c r="Q34" s="38" t="n"/>
      <c r="R34" s="38" t="n"/>
      <c r="S34" s="36" t="n"/>
      <c r="T34" s="36" t="n"/>
      <c r="U34" s="36" t="n"/>
      <c r="V34" s="36" t="n"/>
      <c r="W34" s="39" t="n"/>
      <c r="X34" s="39" t="n"/>
      <c r="Y34" s="39" t="n"/>
      <c r="Z34" s="40" t="n"/>
      <c r="AA34" s="40" t="n"/>
      <c r="AB34" s="36" t="n"/>
      <c r="AC34" s="39" t="n"/>
      <c r="AD34" s="39" t="n"/>
      <c r="AE34" s="38" t="n"/>
      <c r="AF34" s="36" t="n"/>
      <c r="AG34" s="36" t="n"/>
      <c r="AH34" s="36" t="n"/>
      <c r="AI34" s="36" t="n"/>
      <c r="AJ34" s="36" t="n"/>
      <c r="AK34" s="36" t="n"/>
      <c r="AL34" s="36" t="n"/>
      <c r="AM34" s="35">
        <f>IF(NOT(COUNTA(A34:AL34)&gt;0),"",IF(TEXTJOIN(", ",TRUE,IF(B34="","Название",""),IF(C34="","Тип недвижимости",""),IF(D34="","Страна",""),IF(E34="","Город",""),IF(F34="","Улица",""),IF(I34="","Валюта",""),IF(OR(AE34="",AE34&lt;1),"Хотя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земли",""),IF(OR(X34="",X34&lt;=0),"Минимальная цена продажи",""),IF(OR(Y34="",Y34&lt;=0),"Стартовая ставка",""),IF(Z34="","Начало аукциона",""),IF(AA34="","Окончание аукциона",""),IF(AND(W34&lt;&gt;"",X34&lt;&gt;"",X34&gt;W34),"Минимальная цена выше «Продать сейчас»",""),IF(AND(W34&lt;&gt;"",X34&lt;&gt;"",X34&lt;=W34,X34&gt;W34*0.9),"Минимальная цена выше 90% от «Продать сейчас»",""),IF(AND(W34&lt;&gt;"",Y34&lt;&gt;"",Y34&gt;W34*0.3),"Стартовая ставка выше 30% от «Продать сейчас»",""),IF(AND(Z34&lt;&gt;"",AA34&lt;&gt;"",AA34&lt;EDATE(Z34,3)+15),"Аукцион короче 3 месяцев и 15 дней",""),IF(AND(AB34="Да",OR(AC34="",AC34&lt;=0)),"Цена тест-драйва за сутки",""),IF(OR(AJ34="",AJ34="Нет"),"Право собственности",""),IF(OR(AK34="",AK34="Нет"),"Справка об отсутствии обременений",""))="","",TEXTJOIN(", ",TRUE,IF(B34="","Название",""),IF(C34="","Тип недвижимости",""),IF(D34="","Страна",""),IF(E34="","Город",""),IF(F34="","Улица",""),IF(I34="","Валюта",""),IF(OR(AE34="",AE34&lt;1),"Хотя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земли",""),IF(OR(X34="",X34&lt;=0),"Минимальная цена продажи",""),IF(OR(Y34="",Y34&lt;=0),"Стартовая ставка",""),IF(Z34="","Начало аукциона",""),IF(AA34="","Окончание аукциона",""),IF(AND(W34&lt;&gt;"",X34&lt;&gt;"",X34&gt;W34),"Минимальная цена выше «Продать сейчас»",""),IF(AND(W34&lt;&gt;"",X34&lt;&gt;"",X34&lt;=W34,X34&gt;W34*0.9),"Минимальная цена выше 90% от «Продать сейчас»",""),IF(AND(W34&lt;&gt;"",Y34&lt;&gt;"",Y34&gt;W34*0.3),"Стартовая ставка выше 30% от «Продать сейчас»",""),IF(AND(Z34&lt;&gt;"",AA34&lt;&gt;"",AA34&lt;EDATE(Z34,3)+15),"Аукцион короче 3 месяцев и 15 дней",""),IF(AND(AB34="Да",OR(AC34="",AC34&lt;=0)),"Цена тест-драйва за сутки",""),IF(OR(AJ34="",AJ34="Нет"),"Право собственности",""),IF(OR(AK34="",AK34="Нет"),"Справка об отсутствии обременений",""))))</f>
        <v/>
      </c>
      <c r="AN34" s="35">
        <f>IF(NOT(COUNTA(A34:AL34)&gt;0),"",IF(TEXTJOIN(", ",TRUE,IF(AH34="","Описание",""),IF(AND(AE34&lt;&gt;"",AE34&gt;=1,AE34&lt;5),"Фото меньше 5",""),IF(AG34="","Видео",""),IF(H34="","Кадастровый номер",""),IF(AF34="","Ссылка на фото",""))="","",TEXTJOIN(", ",TRUE,IF(AH34="","Описание",""),IF(AND(AE34&lt;&gt;"",AE34&gt;=1,AE34&lt;5),"Фото меньше 5",""),IF(AG34="","Видео",""),IF(H34="","Кадастровый номер",""),IF(AF34="","Ссылка на фото",""))))</f>
        <v/>
      </c>
      <c r="AO34" s="35">
        <f>IF(NOT(COUNTA(A34:AL34)&gt;0),"",IF(AM34="","Можно публиковать","Не хватает"))</f>
        <v/>
      </c>
    </row>
    <row r="35" ht="22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 t="n"/>
      <c r="K35" s="31" t="n"/>
      <c r="L35" s="31" t="n"/>
      <c r="M35" s="32" t="n"/>
      <c r="N35" s="32" t="n"/>
      <c r="O35" s="32" t="n"/>
      <c r="P35" s="32" t="n"/>
      <c r="Q35" s="32" t="n"/>
      <c r="R35" s="32" t="n"/>
      <c r="S35" s="30" t="n"/>
      <c r="T35" s="30" t="n"/>
      <c r="U35" s="30" t="n"/>
      <c r="V35" s="30" t="n"/>
      <c r="W35" s="33" t="n"/>
      <c r="X35" s="33" t="n"/>
      <c r="Y35" s="33" t="n"/>
      <c r="Z35" s="34" t="n"/>
      <c r="AA35" s="34" t="n"/>
      <c r="AB35" s="30" t="n"/>
      <c r="AC35" s="33" t="n"/>
      <c r="AD35" s="33" t="n"/>
      <c r="AE35" s="32" t="n"/>
      <c r="AF35" s="30" t="n"/>
      <c r="AG35" s="30" t="n"/>
      <c r="AH35" s="30" t="n"/>
      <c r="AI35" s="30" t="n"/>
      <c r="AJ35" s="30" t="n"/>
      <c r="AK35" s="30" t="n"/>
      <c r="AL35" s="30" t="n"/>
      <c r="AM35" s="35">
        <f>IF(NOT(COUNTA(A35:AL35)&gt;0),"",IF(TEXTJOIN(", ",TRUE,IF(B35="","Название",""),IF(C35="","Тип недвижимости",""),IF(D35="","Страна",""),IF(E35="","Город",""),IF(F35="","Улица",""),IF(I35="","Валюта",""),IF(OR(AE35="",AE35&lt;1),"Хотя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земли",""),IF(OR(X35="",X35&lt;=0),"Минимальная цена продажи",""),IF(OR(Y35="",Y35&lt;=0),"Стартовая ставка",""),IF(Z35="","Начало аукциона",""),IF(AA35="","Окончание аукциона",""),IF(AND(W35&lt;&gt;"",X35&lt;&gt;"",X35&gt;W35),"Минимальная цена выше «Продать сейчас»",""),IF(AND(W35&lt;&gt;"",X35&lt;&gt;"",X35&lt;=W35,X35&gt;W35*0.9),"Минимальная цена выше 90% от «Продать сейчас»",""),IF(AND(W35&lt;&gt;"",Y35&lt;&gt;"",Y35&gt;W35*0.3),"Стартовая ставка выше 30% от «Продать сейчас»",""),IF(AND(Z35&lt;&gt;"",AA35&lt;&gt;"",AA35&lt;EDATE(Z35,3)+15),"Аукцион короче 3 месяцев и 15 дней",""),IF(AND(AB35="Да",OR(AC35="",AC35&lt;=0)),"Цена тест-драйва за сутки",""),IF(OR(AJ35="",AJ35="Нет"),"Право собственности",""),IF(OR(AK35="",AK35="Нет"),"Справка об отсутствии обременений",""))="","",TEXTJOIN(", ",TRUE,IF(B35="","Название",""),IF(C35="","Тип недвижимости",""),IF(D35="","Страна",""),IF(E35="","Город",""),IF(F35="","Улица",""),IF(I35="","Валюта",""),IF(OR(AE35="",AE35&lt;1),"Хотя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земли",""),IF(OR(X35="",X35&lt;=0),"Минимальная цена продажи",""),IF(OR(Y35="",Y35&lt;=0),"Стартовая ставка",""),IF(Z35="","Начало аукциона",""),IF(AA35="","Окончание аукциона",""),IF(AND(W35&lt;&gt;"",X35&lt;&gt;"",X35&gt;W35),"Минимальная цена выше «Продать сейчас»",""),IF(AND(W35&lt;&gt;"",X35&lt;&gt;"",X35&lt;=W35,X35&gt;W35*0.9),"Минимальная цена выше 90% от «Продать сейчас»",""),IF(AND(W35&lt;&gt;"",Y35&lt;&gt;"",Y35&gt;W35*0.3),"Стартовая ставка выше 30% от «Продать сейчас»",""),IF(AND(Z35&lt;&gt;"",AA35&lt;&gt;"",AA35&lt;EDATE(Z35,3)+15),"Аукцион короче 3 месяцев и 15 дней",""),IF(AND(AB35="Да",OR(AC35="",AC35&lt;=0)),"Цена тест-драйва за сутки",""),IF(OR(AJ35="",AJ35="Нет"),"Право собственности",""),IF(OR(AK35="",AK35="Нет"),"Справка об отсутствии обременений",""))))</f>
        <v/>
      </c>
      <c r="AN35" s="35">
        <f>IF(NOT(COUNTA(A35:AL35)&gt;0),"",IF(TEXTJOIN(", ",TRUE,IF(AH35="","Описание",""),IF(AND(AE35&lt;&gt;"",AE35&gt;=1,AE35&lt;5),"Фото меньше 5",""),IF(AG35="","Видео",""),IF(H35="","Кадастровый номер",""),IF(AF35="","Ссылка на фото",""))="","",TEXTJOIN(", ",TRUE,IF(AH35="","Описание",""),IF(AND(AE35&lt;&gt;"",AE35&gt;=1,AE35&lt;5),"Фото меньше 5",""),IF(AG35="","Видео",""),IF(H35="","Кадастровый номер",""),IF(AF35="","Ссылка на фото",""))))</f>
        <v/>
      </c>
      <c r="AO35" s="35">
        <f>IF(NOT(COUNTA(A35:AL35)&gt;0),"",IF(AM35="","Можно публиковать","Не хватает"))</f>
        <v/>
      </c>
    </row>
    <row r="36" ht="22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7" t="n"/>
      <c r="K36" s="37" t="n"/>
      <c r="L36" s="37" t="n"/>
      <c r="M36" s="38" t="n"/>
      <c r="N36" s="38" t="n"/>
      <c r="O36" s="38" t="n"/>
      <c r="P36" s="38" t="n"/>
      <c r="Q36" s="38" t="n"/>
      <c r="R36" s="38" t="n"/>
      <c r="S36" s="36" t="n"/>
      <c r="T36" s="36" t="n"/>
      <c r="U36" s="36" t="n"/>
      <c r="V36" s="36" t="n"/>
      <c r="W36" s="39" t="n"/>
      <c r="X36" s="39" t="n"/>
      <c r="Y36" s="39" t="n"/>
      <c r="Z36" s="40" t="n"/>
      <c r="AA36" s="40" t="n"/>
      <c r="AB36" s="36" t="n"/>
      <c r="AC36" s="39" t="n"/>
      <c r="AD36" s="39" t="n"/>
      <c r="AE36" s="38" t="n"/>
      <c r="AF36" s="36" t="n"/>
      <c r="AG36" s="36" t="n"/>
      <c r="AH36" s="36" t="n"/>
      <c r="AI36" s="36" t="n"/>
      <c r="AJ36" s="36" t="n"/>
      <c r="AK36" s="36" t="n"/>
      <c r="AL36" s="36" t="n"/>
      <c r="AM36" s="35">
        <f>IF(NOT(COUNTA(A36:AL36)&gt;0),"",IF(TEXTJOIN(", ",TRUE,IF(B36="","Название",""),IF(C36="","Тип недвижимости",""),IF(D36="","Страна",""),IF(E36="","Город",""),IF(F36="","Улица",""),IF(I36="","Валюта",""),IF(OR(AE36="",AE36&lt;1),"Хотя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земли",""),IF(OR(X36="",X36&lt;=0),"Минимальная цена продажи",""),IF(OR(Y36="",Y36&lt;=0),"Стартовая ставка",""),IF(Z36="","Начало аукциона",""),IF(AA36="","Окончание аукциона",""),IF(AND(W36&lt;&gt;"",X36&lt;&gt;"",X36&gt;W36),"Минимальная цена выше «Продать сейчас»",""),IF(AND(W36&lt;&gt;"",X36&lt;&gt;"",X36&lt;=W36,X36&gt;W36*0.9),"Минимальная цена выше 90% от «Продать сейчас»",""),IF(AND(W36&lt;&gt;"",Y36&lt;&gt;"",Y36&gt;W36*0.3),"Стартовая ставка выше 30% от «Продать сейчас»",""),IF(AND(Z36&lt;&gt;"",AA36&lt;&gt;"",AA36&lt;EDATE(Z36,3)+15),"Аукцион короче 3 месяцев и 15 дней",""),IF(AND(AB36="Да",OR(AC36="",AC36&lt;=0)),"Цена тест-драйва за сутки",""),IF(OR(AJ36="",AJ36="Нет"),"Право собственности",""),IF(OR(AK36="",AK36="Нет"),"Справка об отсутствии обременений",""))="","",TEXTJOIN(", ",TRUE,IF(B36="","Название",""),IF(C36="","Тип недвижимости",""),IF(D36="","Страна",""),IF(E36="","Город",""),IF(F36="","Улица",""),IF(I36="","Валюта",""),IF(OR(AE36="",AE36&lt;1),"Хотя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земли",""),IF(OR(X36="",X36&lt;=0),"Минимальная цена продажи",""),IF(OR(Y36="",Y36&lt;=0),"Стартовая ставка",""),IF(Z36="","Начало аукциона",""),IF(AA36="","Окончание аукциона",""),IF(AND(W36&lt;&gt;"",X36&lt;&gt;"",X36&gt;W36),"Минимальная цена выше «Продать сейчас»",""),IF(AND(W36&lt;&gt;"",X36&lt;&gt;"",X36&lt;=W36,X36&gt;W36*0.9),"Минимальная цена выше 90% от «Продать сейчас»",""),IF(AND(W36&lt;&gt;"",Y36&lt;&gt;"",Y36&gt;W36*0.3),"Стартовая ставка выше 30% от «Продать сейчас»",""),IF(AND(Z36&lt;&gt;"",AA36&lt;&gt;"",AA36&lt;EDATE(Z36,3)+15),"Аукцион короче 3 месяцев и 15 дней",""),IF(AND(AB36="Да",OR(AC36="",AC36&lt;=0)),"Цена тест-драйва за сутки",""),IF(OR(AJ36="",AJ36="Нет"),"Право собственности",""),IF(OR(AK36="",AK36="Нет"),"Справка об отсутствии обременений",""))))</f>
        <v/>
      </c>
      <c r="AN36" s="35">
        <f>IF(NOT(COUNTA(A36:AL36)&gt;0),"",IF(TEXTJOIN(", ",TRUE,IF(AH36="","Описание",""),IF(AND(AE36&lt;&gt;"",AE36&gt;=1,AE36&lt;5),"Фото меньше 5",""),IF(AG36="","Видео",""),IF(H36="","Кадастровый номер",""),IF(AF36="","Ссылка на фото",""))="","",TEXTJOIN(", ",TRUE,IF(AH36="","Описание",""),IF(AND(AE36&lt;&gt;"",AE36&gt;=1,AE36&lt;5),"Фото меньше 5",""),IF(AG36="","Видео",""),IF(H36="","Кадастровый номер",""),IF(AF36="","Ссылка на фото",""))))</f>
        <v/>
      </c>
      <c r="AO36" s="35">
        <f>IF(NOT(COUNTA(A36:AL36)&gt;0),"",IF(AM36="","Можно публиковать","Не хватает"))</f>
        <v/>
      </c>
    </row>
    <row r="37" ht="22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  <c r="K37" s="31" t="n"/>
      <c r="L37" s="31" t="n"/>
      <c r="M37" s="32" t="n"/>
      <c r="N37" s="32" t="n"/>
      <c r="O37" s="32" t="n"/>
      <c r="P37" s="32" t="n"/>
      <c r="Q37" s="32" t="n"/>
      <c r="R37" s="32" t="n"/>
      <c r="S37" s="30" t="n"/>
      <c r="T37" s="30" t="n"/>
      <c r="U37" s="30" t="n"/>
      <c r="V37" s="30" t="n"/>
      <c r="W37" s="33" t="n"/>
      <c r="X37" s="33" t="n"/>
      <c r="Y37" s="33" t="n"/>
      <c r="Z37" s="34" t="n"/>
      <c r="AA37" s="34" t="n"/>
      <c r="AB37" s="30" t="n"/>
      <c r="AC37" s="33" t="n"/>
      <c r="AD37" s="33" t="n"/>
      <c r="AE37" s="32" t="n"/>
      <c r="AF37" s="30" t="n"/>
      <c r="AG37" s="30" t="n"/>
      <c r="AH37" s="30" t="n"/>
      <c r="AI37" s="30" t="n"/>
      <c r="AJ37" s="30" t="n"/>
      <c r="AK37" s="30" t="n"/>
      <c r="AL37" s="30" t="n"/>
      <c r="AM37" s="35">
        <f>IF(NOT(COUNTA(A37:AL37)&gt;0),"",IF(TEXTJOIN(", ",TRUE,IF(B37="","Название",""),IF(C37="","Тип недвижимости",""),IF(D37="","Страна",""),IF(E37="","Город",""),IF(F37="","Улица",""),IF(I37="","Валюта",""),IF(OR(AE37="",AE37&lt;1),"Хотя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земли",""),IF(OR(X37="",X37&lt;=0),"Минимальная цена продажи",""),IF(OR(Y37="",Y37&lt;=0),"Стартовая ставка",""),IF(Z37="","Начало аукциона",""),IF(AA37="","Окончание аукциона",""),IF(AND(W37&lt;&gt;"",X37&lt;&gt;"",X37&gt;W37),"Минимальная цена выше «Продать сейчас»",""),IF(AND(W37&lt;&gt;"",X37&lt;&gt;"",X37&lt;=W37,X37&gt;W37*0.9),"Минимальная цена выше 90% от «Продать сейчас»",""),IF(AND(W37&lt;&gt;"",Y37&lt;&gt;"",Y37&gt;W37*0.3),"Стартовая ставка выше 30% от «Продать сейчас»",""),IF(AND(Z37&lt;&gt;"",AA37&lt;&gt;"",AA37&lt;EDATE(Z37,3)+15),"Аукцион короче 3 месяцев и 15 дней",""),IF(AND(AB37="Да",OR(AC37="",AC37&lt;=0)),"Цена тест-драйва за сутки",""),IF(OR(AJ37="",AJ37="Нет"),"Право собственности",""),IF(OR(AK37="",AK37="Нет"),"Справка об отсутствии обременений",""))="","",TEXTJOIN(", ",TRUE,IF(B37="","Название",""),IF(C37="","Тип недвижимости",""),IF(D37="","Страна",""),IF(E37="","Город",""),IF(F37="","Улица",""),IF(I37="","Валюта",""),IF(OR(AE37="",AE37&lt;1),"Хотя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земли",""),IF(OR(X37="",X37&lt;=0),"Минимальная цена продажи",""),IF(OR(Y37="",Y37&lt;=0),"Стартовая ставка",""),IF(Z37="","Начало аукциона",""),IF(AA37="","Окончание аукциона",""),IF(AND(W37&lt;&gt;"",X37&lt;&gt;"",X37&gt;W37),"Минимальная цена выше «Продать сейчас»",""),IF(AND(W37&lt;&gt;"",X37&lt;&gt;"",X37&lt;=W37,X37&gt;W37*0.9),"Минимальная цена выше 90% от «Продать сейчас»",""),IF(AND(W37&lt;&gt;"",Y37&lt;&gt;"",Y37&gt;W37*0.3),"Стартовая ставка выше 30% от «Продать сейчас»",""),IF(AND(Z37&lt;&gt;"",AA37&lt;&gt;"",AA37&lt;EDATE(Z37,3)+15),"Аукцион короче 3 месяцев и 15 дней",""),IF(AND(AB37="Да",OR(AC37="",AC37&lt;=0)),"Цена тест-драйва за сутки",""),IF(OR(AJ37="",AJ37="Нет"),"Право собственности",""),IF(OR(AK37="",AK37="Нет"),"Справка об отсутствии обременений",""))))</f>
        <v/>
      </c>
      <c r="AN37" s="35">
        <f>IF(NOT(COUNTA(A37:AL37)&gt;0),"",IF(TEXTJOIN(", ",TRUE,IF(AH37="","Описание",""),IF(AND(AE37&lt;&gt;"",AE37&gt;=1,AE37&lt;5),"Фото меньше 5",""),IF(AG37="","Видео",""),IF(H37="","Кадастровый номер",""),IF(AF37="","Ссылка на фото",""))="","",TEXTJOIN(", ",TRUE,IF(AH37="","Описание",""),IF(AND(AE37&lt;&gt;"",AE37&gt;=1,AE37&lt;5),"Фото меньше 5",""),IF(AG37="","Видео",""),IF(H37="","Кадастровый номер",""),IF(AF37="","Ссылка на фото",""))))</f>
        <v/>
      </c>
      <c r="AO37" s="35">
        <f>IF(NOT(COUNTA(A37:AL37)&gt;0),"",IF(AM37="","Можно публиковать","Не хватает"))</f>
        <v/>
      </c>
    </row>
    <row r="38" ht="22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7" t="n"/>
      <c r="K38" s="37" t="n"/>
      <c r="L38" s="37" t="n"/>
      <c r="M38" s="38" t="n"/>
      <c r="N38" s="38" t="n"/>
      <c r="O38" s="38" t="n"/>
      <c r="P38" s="38" t="n"/>
      <c r="Q38" s="38" t="n"/>
      <c r="R38" s="38" t="n"/>
      <c r="S38" s="36" t="n"/>
      <c r="T38" s="36" t="n"/>
      <c r="U38" s="36" t="n"/>
      <c r="V38" s="36" t="n"/>
      <c r="W38" s="39" t="n"/>
      <c r="X38" s="39" t="n"/>
      <c r="Y38" s="39" t="n"/>
      <c r="Z38" s="40" t="n"/>
      <c r="AA38" s="40" t="n"/>
      <c r="AB38" s="36" t="n"/>
      <c r="AC38" s="39" t="n"/>
      <c r="AD38" s="39" t="n"/>
      <c r="AE38" s="38" t="n"/>
      <c r="AF38" s="36" t="n"/>
      <c r="AG38" s="36" t="n"/>
      <c r="AH38" s="36" t="n"/>
      <c r="AI38" s="36" t="n"/>
      <c r="AJ38" s="36" t="n"/>
      <c r="AK38" s="36" t="n"/>
      <c r="AL38" s="36" t="n"/>
      <c r="AM38" s="35">
        <f>IF(NOT(COUNTA(A38:AL38)&gt;0),"",IF(TEXTJOIN(", ",TRUE,IF(B38="","Название",""),IF(C38="","Тип недвижимости",""),IF(D38="","Страна",""),IF(E38="","Город",""),IF(F38="","Улица",""),IF(I38="","Валюта",""),IF(OR(AE38="",AE38&lt;1),"Хотя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земли",""),IF(OR(X38="",X38&lt;=0),"Минимальная цена продажи",""),IF(OR(Y38="",Y38&lt;=0),"Стартовая ставка",""),IF(Z38="","Начало аукциона",""),IF(AA38="","Окончание аукциона",""),IF(AND(W38&lt;&gt;"",X38&lt;&gt;"",X38&gt;W38),"Минимальная цена выше «Продать сейчас»",""),IF(AND(W38&lt;&gt;"",X38&lt;&gt;"",X38&lt;=W38,X38&gt;W38*0.9),"Минимальная цена выше 90% от «Продать сейчас»",""),IF(AND(W38&lt;&gt;"",Y38&lt;&gt;"",Y38&gt;W38*0.3),"Стартовая ставка выше 30% от «Продать сейчас»",""),IF(AND(Z38&lt;&gt;"",AA38&lt;&gt;"",AA38&lt;EDATE(Z38,3)+15),"Аукцион короче 3 месяцев и 15 дней",""),IF(AND(AB38="Да",OR(AC38="",AC38&lt;=0)),"Цена тест-драйва за сутки",""),IF(OR(AJ38="",AJ38="Нет"),"Право собственности",""),IF(OR(AK38="",AK38="Нет"),"Справка об отсутствии обременений",""))="","",TEXTJOIN(", ",TRUE,IF(B38="","Название",""),IF(C38="","Тип недвижимости",""),IF(D38="","Страна",""),IF(E38="","Город",""),IF(F38="","Улица",""),IF(I38="","Валюта",""),IF(OR(AE38="",AE38&lt;1),"Хотя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земли",""),IF(OR(X38="",X38&lt;=0),"Минимальная цена продажи",""),IF(OR(Y38="",Y38&lt;=0),"Стартовая ставка",""),IF(Z38="","Начало аукциона",""),IF(AA38="","Окончание аукциона",""),IF(AND(W38&lt;&gt;"",X38&lt;&gt;"",X38&gt;W38),"Минимальная цена выше «Продать сейчас»",""),IF(AND(W38&lt;&gt;"",X38&lt;&gt;"",X38&lt;=W38,X38&gt;W38*0.9),"Минимальная цена выше 90% от «Продать сейчас»",""),IF(AND(W38&lt;&gt;"",Y38&lt;&gt;"",Y38&gt;W38*0.3),"Стартовая ставка выше 30% от «Продать сейчас»",""),IF(AND(Z38&lt;&gt;"",AA38&lt;&gt;"",AA38&lt;EDATE(Z38,3)+15),"Аукцион короче 3 месяцев и 15 дней",""),IF(AND(AB38="Да",OR(AC38="",AC38&lt;=0)),"Цена тест-драйва за сутки",""),IF(OR(AJ38="",AJ38="Нет"),"Право собственности",""),IF(OR(AK38="",AK38="Нет"),"Справка об отсутствии обременений",""))))</f>
        <v/>
      </c>
      <c r="AN38" s="35">
        <f>IF(NOT(COUNTA(A38:AL38)&gt;0),"",IF(TEXTJOIN(", ",TRUE,IF(AH38="","Описание",""),IF(AND(AE38&lt;&gt;"",AE38&gt;=1,AE38&lt;5),"Фото меньше 5",""),IF(AG38="","Видео",""),IF(H38="","Кадастровый номер",""),IF(AF38="","Ссылка на фото",""))="","",TEXTJOIN(", ",TRUE,IF(AH38="","Описание",""),IF(AND(AE38&lt;&gt;"",AE38&gt;=1,AE38&lt;5),"Фото меньше 5",""),IF(AG38="","Видео",""),IF(H38="","Кадастровый номер",""),IF(AF38="","Ссылка на фото",""))))</f>
        <v/>
      </c>
      <c r="AO38" s="35">
        <f>IF(NOT(COUNTA(A38:AL38)&gt;0),"",IF(AM38="","Можно публиковать","Не хватает"))</f>
        <v/>
      </c>
    </row>
    <row r="39" ht="22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 t="n"/>
      <c r="K39" s="31" t="n"/>
      <c r="L39" s="31" t="n"/>
      <c r="M39" s="32" t="n"/>
      <c r="N39" s="32" t="n"/>
      <c r="O39" s="32" t="n"/>
      <c r="P39" s="32" t="n"/>
      <c r="Q39" s="32" t="n"/>
      <c r="R39" s="32" t="n"/>
      <c r="S39" s="30" t="n"/>
      <c r="T39" s="30" t="n"/>
      <c r="U39" s="30" t="n"/>
      <c r="V39" s="30" t="n"/>
      <c r="W39" s="33" t="n"/>
      <c r="X39" s="33" t="n"/>
      <c r="Y39" s="33" t="n"/>
      <c r="Z39" s="34" t="n"/>
      <c r="AA39" s="34" t="n"/>
      <c r="AB39" s="30" t="n"/>
      <c r="AC39" s="33" t="n"/>
      <c r="AD39" s="33" t="n"/>
      <c r="AE39" s="32" t="n"/>
      <c r="AF39" s="30" t="n"/>
      <c r="AG39" s="30" t="n"/>
      <c r="AH39" s="30" t="n"/>
      <c r="AI39" s="30" t="n"/>
      <c r="AJ39" s="30" t="n"/>
      <c r="AK39" s="30" t="n"/>
      <c r="AL39" s="30" t="n"/>
      <c r="AM39" s="35">
        <f>IF(NOT(COUNTA(A39:AL39)&gt;0),"",IF(TEXTJOIN(", ",TRUE,IF(B39="","Название",""),IF(C39="","Тип недвижимости",""),IF(D39="","Страна",""),IF(E39="","Город",""),IF(F39="","Улица",""),IF(I39="","Валюта",""),IF(OR(AE39="",AE39&lt;1),"Хотя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земли",""),IF(OR(X39="",X39&lt;=0),"Минимальная цена продажи",""),IF(OR(Y39="",Y39&lt;=0),"Стартовая ставка",""),IF(Z39="","Начало аукциона",""),IF(AA39="","Окончание аукциона",""),IF(AND(W39&lt;&gt;"",X39&lt;&gt;"",X39&gt;W39),"Минимальная цена выше «Продать сейчас»",""),IF(AND(W39&lt;&gt;"",X39&lt;&gt;"",X39&lt;=W39,X39&gt;W39*0.9),"Минимальная цена выше 90% от «Продать сейчас»",""),IF(AND(W39&lt;&gt;"",Y39&lt;&gt;"",Y39&gt;W39*0.3),"Стартовая ставка выше 30% от «Продать сейчас»",""),IF(AND(Z39&lt;&gt;"",AA39&lt;&gt;"",AA39&lt;EDATE(Z39,3)+15),"Аукцион короче 3 месяцев и 15 дней",""),IF(AND(AB39="Да",OR(AC39="",AC39&lt;=0)),"Цена тест-драйва за сутки",""),IF(OR(AJ39="",AJ39="Нет"),"Право собственности",""),IF(OR(AK39="",AK39="Нет"),"Справка об отсутствии обременений",""))="","",TEXTJOIN(", ",TRUE,IF(B39="","Название",""),IF(C39="","Тип недвижимости",""),IF(D39="","Страна",""),IF(E39="","Город",""),IF(F39="","Улица",""),IF(I39="","Валюта",""),IF(OR(AE39="",AE39&lt;1),"Хотя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земли",""),IF(OR(X39="",X39&lt;=0),"Минимальная цена продажи",""),IF(OR(Y39="",Y39&lt;=0),"Стартовая ставка",""),IF(Z39="","Начало аукциона",""),IF(AA39="","Окончание аукциона",""),IF(AND(W39&lt;&gt;"",X39&lt;&gt;"",X39&gt;W39),"Минимальная цена выше «Продать сейчас»",""),IF(AND(W39&lt;&gt;"",X39&lt;&gt;"",X39&lt;=W39,X39&gt;W39*0.9),"Минимальная цена выше 90% от «Продать сейчас»",""),IF(AND(W39&lt;&gt;"",Y39&lt;&gt;"",Y39&gt;W39*0.3),"Стартовая ставка выше 30% от «Продать сейчас»",""),IF(AND(Z39&lt;&gt;"",AA39&lt;&gt;"",AA39&lt;EDATE(Z39,3)+15),"Аукцион короче 3 месяцев и 15 дней",""),IF(AND(AB39="Да",OR(AC39="",AC39&lt;=0)),"Цена тест-драйва за сутки",""),IF(OR(AJ39="",AJ39="Нет"),"Право собственности",""),IF(OR(AK39="",AK39="Нет"),"Справка об отсутствии обременений",""))))</f>
        <v/>
      </c>
      <c r="AN39" s="35">
        <f>IF(NOT(COUNTA(A39:AL39)&gt;0),"",IF(TEXTJOIN(", ",TRUE,IF(AH39="","Описание",""),IF(AND(AE39&lt;&gt;"",AE39&gt;=1,AE39&lt;5),"Фото меньше 5",""),IF(AG39="","Видео",""),IF(H39="","Кадастровый номер",""),IF(AF39="","Ссылка на фото",""))="","",TEXTJOIN(", ",TRUE,IF(AH39="","Описание",""),IF(AND(AE39&lt;&gt;"",AE39&gt;=1,AE39&lt;5),"Фото меньше 5",""),IF(AG39="","Видео",""),IF(H39="","Кадастровый номер",""),IF(AF39="","Ссылка на фото",""))))</f>
        <v/>
      </c>
      <c r="AO39" s="35">
        <f>IF(NOT(COUNTA(A39:AL39)&gt;0),"",IF(AM39="","Можно публиковать","Не хватает"))</f>
        <v/>
      </c>
    </row>
    <row r="40" ht="22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7" t="n"/>
      <c r="K40" s="37" t="n"/>
      <c r="L40" s="37" t="n"/>
      <c r="M40" s="38" t="n"/>
      <c r="N40" s="38" t="n"/>
      <c r="O40" s="38" t="n"/>
      <c r="P40" s="38" t="n"/>
      <c r="Q40" s="38" t="n"/>
      <c r="R40" s="38" t="n"/>
      <c r="S40" s="36" t="n"/>
      <c r="T40" s="36" t="n"/>
      <c r="U40" s="36" t="n"/>
      <c r="V40" s="36" t="n"/>
      <c r="W40" s="39" t="n"/>
      <c r="X40" s="39" t="n"/>
      <c r="Y40" s="39" t="n"/>
      <c r="Z40" s="40" t="n"/>
      <c r="AA40" s="40" t="n"/>
      <c r="AB40" s="36" t="n"/>
      <c r="AC40" s="39" t="n"/>
      <c r="AD40" s="39" t="n"/>
      <c r="AE40" s="38" t="n"/>
      <c r="AF40" s="36" t="n"/>
      <c r="AG40" s="36" t="n"/>
      <c r="AH40" s="36" t="n"/>
      <c r="AI40" s="36" t="n"/>
      <c r="AJ40" s="36" t="n"/>
      <c r="AK40" s="36" t="n"/>
      <c r="AL40" s="36" t="n"/>
      <c r="AM40" s="35">
        <f>IF(NOT(COUNTA(A40:AL40)&gt;0),"",IF(TEXTJOIN(", ",TRUE,IF(B40="","Название",""),IF(C40="","Тип недвижимости",""),IF(D40="","Страна",""),IF(E40="","Город",""),IF(F40="","Улица",""),IF(I40="","Валюта",""),IF(OR(AE40="",AE40&lt;1),"Хотя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земли",""),IF(OR(X40="",X40&lt;=0),"Минимальная цена продажи",""),IF(OR(Y40="",Y40&lt;=0),"Стартовая ставка",""),IF(Z40="","Начало аукциона",""),IF(AA40="","Окончание аукциона",""),IF(AND(W40&lt;&gt;"",X40&lt;&gt;"",X40&gt;W40),"Минимальная цена выше «Продать сейчас»",""),IF(AND(W40&lt;&gt;"",X40&lt;&gt;"",X40&lt;=W40,X40&gt;W40*0.9),"Минимальная цена выше 90% от «Продать сейчас»",""),IF(AND(W40&lt;&gt;"",Y40&lt;&gt;"",Y40&gt;W40*0.3),"Стартовая ставка выше 30% от «Продать сейчас»",""),IF(AND(Z40&lt;&gt;"",AA40&lt;&gt;"",AA40&lt;EDATE(Z40,3)+15),"Аукцион короче 3 месяцев и 15 дней",""),IF(AND(AB40="Да",OR(AC40="",AC40&lt;=0)),"Цена тест-драйва за сутки",""),IF(OR(AJ40="",AJ40="Нет"),"Право собственности",""),IF(OR(AK40="",AK40="Нет"),"Справка об отсутствии обременений",""))="","",TEXTJOIN(", ",TRUE,IF(B40="","Название",""),IF(C40="","Тип недвижимости",""),IF(D40="","Страна",""),IF(E40="","Город",""),IF(F40="","Улица",""),IF(I40="","Валюта",""),IF(OR(AE40="",AE40&lt;1),"Хотя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земли",""),IF(OR(X40="",X40&lt;=0),"Минимальная цена продажи",""),IF(OR(Y40="",Y40&lt;=0),"Стартовая ставка",""),IF(Z40="","Начало аукциона",""),IF(AA40="","Окончание аукциона",""),IF(AND(W40&lt;&gt;"",X40&lt;&gt;"",X40&gt;W40),"Минимальная цена выше «Продать сейчас»",""),IF(AND(W40&lt;&gt;"",X40&lt;&gt;"",X40&lt;=W40,X40&gt;W40*0.9),"Минимальная цена выше 90% от «Продать сейчас»",""),IF(AND(W40&lt;&gt;"",Y40&lt;&gt;"",Y40&gt;W40*0.3),"Стартовая ставка выше 30% от «Продать сейчас»",""),IF(AND(Z40&lt;&gt;"",AA40&lt;&gt;"",AA40&lt;EDATE(Z40,3)+15),"Аукцион короче 3 месяцев и 15 дней",""),IF(AND(AB40="Да",OR(AC40="",AC40&lt;=0)),"Цена тест-драйва за сутки",""),IF(OR(AJ40="",AJ40="Нет"),"Право собственности",""),IF(OR(AK40="",AK40="Нет"),"Справка об отсутствии обременений",""))))</f>
        <v/>
      </c>
      <c r="AN40" s="35">
        <f>IF(NOT(COUNTA(A40:AL40)&gt;0),"",IF(TEXTJOIN(", ",TRUE,IF(AH40="","Описание",""),IF(AND(AE40&lt;&gt;"",AE40&gt;=1,AE40&lt;5),"Фото меньше 5",""),IF(AG40="","Видео",""),IF(H40="","Кадастровый номер",""),IF(AF40="","Ссылка на фото",""))="","",TEXTJOIN(", ",TRUE,IF(AH40="","Описание",""),IF(AND(AE40&lt;&gt;"",AE40&gt;=1,AE40&lt;5),"Фото меньше 5",""),IF(AG40="","Видео",""),IF(H40="","Кадастровый номер",""),IF(AF40="","Ссылка на фото",""))))</f>
        <v/>
      </c>
      <c r="AO40" s="35">
        <f>IF(NOT(COUNTA(A40:AL40)&gt;0),"",IF(AM40="","Можно публиковать","Не хватает"))</f>
        <v/>
      </c>
    </row>
    <row r="41" ht="22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  <c r="K41" s="31" t="n"/>
      <c r="L41" s="31" t="n"/>
      <c r="M41" s="32" t="n"/>
      <c r="N41" s="32" t="n"/>
      <c r="O41" s="32" t="n"/>
      <c r="P41" s="32" t="n"/>
      <c r="Q41" s="32" t="n"/>
      <c r="R41" s="32" t="n"/>
      <c r="S41" s="30" t="n"/>
      <c r="T41" s="30" t="n"/>
      <c r="U41" s="30" t="n"/>
      <c r="V41" s="30" t="n"/>
      <c r="W41" s="33" t="n"/>
      <c r="X41" s="33" t="n"/>
      <c r="Y41" s="33" t="n"/>
      <c r="Z41" s="34" t="n"/>
      <c r="AA41" s="34" t="n"/>
      <c r="AB41" s="30" t="n"/>
      <c r="AC41" s="33" t="n"/>
      <c r="AD41" s="33" t="n"/>
      <c r="AE41" s="32" t="n"/>
      <c r="AF41" s="30" t="n"/>
      <c r="AG41" s="30" t="n"/>
      <c r="AH41" s="30" t="n"/>
      <c r="AI41" s="30" t="n"/>
      <c r="AJ41" s="30" t="n"/>
      <c r="AK41" s="30" t="n"/>
      <c r="AL41" s="30" t="n"/>
      <c r="AM41" s="35">
        <f>IF(NOT(COUNTA(A41:AL41)&gt;0),"",IF(TEXTJOIN(", ",TRUE,IF(B41="","Название",""),IF(C41="","Тип недвижимости",""),IF(D41="","Страна",""),IF(E41="","Город",""),IF(F41="","Улица",""),IF(I41="","Валюта",""),IF(OR(AE41="",AE41&lt;1),"Хотя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земли",""),IF(OR(X41="",X41&lt;=0),"Минимальная цена продажи",""),IF(OR(Y41="",Y41&lt;=0),"Стартовая ставка",""),IF(Z41="","Начало аукциона",""),IF(AA41="","Окончание аукциона",""),IF(AND(W41&lt;&gt;"",X41&lt;&gt;"",X41&gt;W41),"Минимальная цена выше «Продать сейчас»",""),IF(AND(W41&lt;&gt;"",X41&lt;&gt;"",X41&lt;=W41,X41&gt;W41*0.9),"Минимальная цена выше 90% от «Продать сейчас»",""),IF(AND(W41&lt;&gt;"",Y41&lt;&gt;"",Y41&gt;W41*0.3),"Стартовая ставка выше 30% от «Продать сейчас»",""),IF(AND(Z41&lt;&gt;"",AA41&lt;&gt;"",AA41&lt;EDATE(Z41,3)+15),"Аукцион короче 3 месяцев и 15 дней",""),IF(AND(AB41="Да",OR(AC41="",AC41&lt;=0)),"Цена тест-драйва за сутки",""),IF(OR(AJ41="",AJ41="Нет"),"Право собственности",""),IF(OR(AK41="",AK41="Нет"),"Справка об отсутствии обременений",""))="","",TEXTJOIN(", ",TRUE,IF(B41="","Название",""),IF(C41="","Тип недвижимости",""),IF(D41="","Страна",""),IF(E41="","Город",""),IF(F41="","Улица",""),IF(I41="","Валюта",""),IF(OR(AE41="",AE41&lt;1),"Хотя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земли",""),IF(OR(X41="",X41&lt;=0),"Минимальная цена продажи",""),IF(OR(Y41="",Y41&lt;=0),"Стартовая ставка",""),IF(Z41="","Начало аукциона",""),IF(AA41="","Окончание аукциона",""),IF(AND(W41&lt;&gt;"",X41&lt;&gt;"",X41&gt;W41),"Минимальная цена выше «Продать сейчас»",""),IF(AND(W41&lt;&gt;"",X41&lt;&gt;"",X41&lt;=W41,X41&gt;W41*0.9),"Минимальная цена выше 90% от «Продать сейчас»",""),IF(AND(W41&lt;&gt;"",Y41&lt;&gt;"",Y41&gt;W41*0.3),"Стартовая ставка выше 30% от «Продать сейчас»",""),IF(AND(Z41&lt;&gt;"",AA41&lt;&gt;"",AA41&lt;EDATE(Z41,3)+15),"Аукцион короче 3 месяцев и 15 дней",""),IF(AND(AB41="Да",OR(AC41="",AC41&lt;=0)),"Цена тест-драйва за сутки",""),IF(OR(AJ41="",AJ41="Нет"),"Право собственности",""),IF(OR(AK41="",AK41="Нет"),"Справка об отсутствии обременений",""))))</f>
        <v/>
      </c>
      <c r="AN41" s="35">
        <f>IF(NOT(COUNTA(A41:AL41)&gt;0),"",IF(TEXTJOIN(", ",TRUE,IF(AH41="","Описание",""),IF(AND(AE41&lt;&gt;"",AE41&gt;=1,AE41&lt;5),"Фото меньше 5",""),IF(AG41="","Видео",""),IF(H41="","Кадастровый номер",""),IF(AF41="","Ссылка на фото",""))="","",TEXTJOIN(", ",TRUE,IF(AH41="","Описание",""),IF(AND(AE41&lt;&gt;"",AE41&gt;=1,AE41&lt;5),"Фото меньше 5",""),IF(AG41="","Видео",""),IF(H41="","Кадастровый номер",""),IF(AF41="","Ссылка на фото",""))))</f>
        <v/>
      </c>
      <c r="AO41" s="35">
        <f>IF(NOT(COUNTA(A41:AL41)&gt;0),"",IF(AM41="","Можно публиковать","Не хватает"))</f>
        <v/>
      </c>
    </row>
    <row r="42" ht="22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7" t="n"/>
      <c r="K42" s="37" t="n"/>
      <c r="L42" s="37" t="n"/>
      <c r="M42" s="38" t="n"/>
      <c r="N42" s="38" t="n"/>
      <c r="O42" s="38" t="n"/>
      <c r="P42" s="38" t="n"/>
      <c r="Q42" s="38" t="n"/>
      <c r="R42" s="38" t="n"/>
      <c r="S42" s="36" t="n"/>
      <c r="T42" s="36" t="n"/>
      <c r="U42" s="36" t="n"/>
      <c r="V42" s="36" t="n"/>
      <c r="W42" s="39" t="n"/>
      <c r="X42" s="39" t="n"/>
      <c r="Y42" s="39" t="n"/>
      <c r="Z42" s="40" t="n"/>
      <c r="AA42" s="40" t="n"/>
      <c r="AB42" s="36" t="n"/>
      <c r="AC42" s="39" t="n"/>
      <c r="AD42" s="39" t="n"/>
      <c r="AE42" s="38" t="n"/>
      <c r="AF42" s="36" t="n"/>
      <c r="AG42" s="36" t="n"/>
      <c r="AH42" s="36" t="n"/>
      <c r="AI42" s="36" t="n"/>
      <c r="AJ42" s="36" t="n"/>
      <c r="AK42" s="36" t="n"/>
      <c r="AL42" s="36" t="n"/>
      <c r="AM42" s="35">
        <f>IF(NOT(COUNTA(A42:AL42)&gt;0),"",IF(TEXTJOIN(", ",TRUE,IF(B42="","Название",""),IF(C42="","Тип недвижимости",""),IF(D42="","Страна",""),IF(E42="","Город",""),IF(F42="","Улица",""),IF(I42="","Валюта",""),IF(OR(AE42="",AE42&lt;1),"Хотя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земли",""),IF(OR(X42="",X42&lt;=0),"Минимальная цена продажи",""),IF(OR(Y42="",Y42&lt;=0),"Стартовая ставка",""),IF(Z42="","Начало аукциона",""),IF(AA42="","Окончание аукциона",""),IF(AND(W42&lt;&gt;"",X42&lt;&gt;"",X42&gt;W42),"Минимальная цена выше «Продать сейчас»",""),IF(AND(W42&lt;&gt;"",X42&lt;&gt;"",X42&lt;=W42,X42&gt;W42*0.9),"Минимальная цена выше 90% от «Продать сейчас»",""),IF(AND(W42&lt;&gt;"",Y42&lt;&gt;"",Y42&gt;W42*0.3),"Стартовая ставка выше 30% от «Продать сейчас»",""),IF(AND(Z42&lt;&gt;"",AA42&lt;&gt;"",AA42&lt;EDATE(Z42,3)+15),"Аукцион короче 3 месяцев и 15 дней",""),IF(AND(AB42="Да",OR(AC42="",AC42&lt;=0)),"Цена тест-драйва за сутки",""),IF(OR(AJ42="",AJ42="Нет"),"Право собственности",""),IF(OR(AK42="",AK42="Нет"),"Справка об отсутствии обременений",""))="","",TEXTJOIN(", ",TRUE,IF(B42="","Название",""),IF(C42="","Тип недвижимости",""),IF(D42="","Страна",""),IF(E42="","Город",""),IF(F42="","Улица",""),IF(I42="","Валюта",""),IF(OR(AE42="",AE42&lt;1),"Хотя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земли",""),IF(OR(X42="",X42&lt;=0),"Минимальная цена продажи",""),IF(OR(Y42="",Y42&lt;=0),"Стартовая ставка",""),IF(Z42="","Начало аукциона",""),IF(AA42="","Окончание аукциона",""),IF(AND(W42&lt;&gt;"",X42&lt;&gt;"",X42&gt;W42),"Минимальная цена выше «Продать сейчас»",""),IF(AND(W42&lt;&gt;"",X42&lt;&gt;"",X42&lt;=W42,X42&gt;W42*0.9),"Минимальная цена выше 90% от «Продать сейчас»",""),IF(AND(W42&lt;&gt;"",Y42&lt;&gt;"",Y42&gt;W42*0.3),"Стартовая ставка выше 30% от «Продать сейчас»",""),IF(AND(Z42&lt;&gt;"",AA42&lt;&gt;"",AA42&lt;EDATE(Z42,3)+15),"Аукцион короче 3 месяцев и 15 дней",""),IF(AND(AB42="Да",OR(AC42="",AC42&lt;=0)),"Цена тест-драйва за сутки",""),IF(OR(AJ42="",AJ42="Нет"),"Право собственности",""),IF(OR(AK42="",AK42="Нет"),"Справка об отсутствии обременений",""))))</f>
        <v/>
      </c>
      <c r="AN42" s="35">
        <f>IF(NOT(COUNTA(A42:AL42)&gt;0),"",IF(TEXTJOIN(", ",TRUE,IF(AH42="","Описание",""),IF(AND(AE42&lt;&gt;"",AE42&gt;=1,AE42&lt;5),"Фото меньше 5",""),IF(AG42="","Видео",""),IF(H42="","Кадастровый номер",""),IF(AF42="","Ссылка на фото",""))="","",TEXTJOIN(", ",TRUE,IF(AH42="","Описание",""),IF(AND(AE42&lt;&gt;"",AE42&gt;=1,AE42&lt;5),"Фото меньше 5",""),IF(AG42="","Видео",""),IF(H42="","Кадастровый номер",""),IF(AF42="","Ссылка на фото",""))))</f>
        <v/>
      </c>
      <c r="AO42" s="35">
        <f>IF(NOT(COUNTA(A42:AL42)&gt;0),"",IF(AM42="","Можно публиковать","Не хватает"))</f>
        <v/>
      </c>
    </row>
    <row r="43" ht="22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 t="n"/>
      <c r="K43" s="31" t="n"/>
      <c r="L43" s="31" t="n"/>
      <c r="M43" s="32" t="n"/>
      <c r="N43" s="32" t="n"/>
      <c r="O43" s="32" t="n"/>
      <c r="P43" s="32" t="n"/>
      <c r="Q43" s="32" t="n"/>
      <c r="R43" s="32" t="n"/>
      <c r="S43" s="30" t="n"/>
      <c r="T43" s="30" t="n"/>
      <c r="U43" s="30" t="n"/>
      <c r="V43" s="30" t="n"/>
      <c r="W43" s="33" t="n"/>
      <c r="X43" s="33" t="n"/>
      <c r="Y43" s="33" t="n"/>
      <c r="Z43" s="34" t="n"/>
      <c r="AA43" s="34" t="n"/>
      <c r="AB43" s="30" t="n"/>
      <c r="AC43" s="33" t="n"/>
      <c r="AD43" s="33" t="n"/>
      <c r="AE43" s="32" t="n"/>
      <c r="AF43" s="30" t="n"/>
      <c r="AG43" s="30" t="n"/>
      <c r="AH43" s="30" t="n"/>
      <c r="AI43" s="30" t="n"/>
      <c r="AJ43" s="30" t="n"/>
      <c r="AK43" s="30" t="n"/>
      <c r="AL43" s="30" t="n"/>
      <c r="AM43" s="35">
        <f>IF(NOT(COUNTA(A43:AL43)&gt;0),"",IF(TEXTJOIN(", ",TRUE,IF(B43="","Название",""),IF(C43="","Тип недвижимости",""),IF(D43="","Страна",""),IF(E43="","Город",""),IF(F43="","Улица",""),IF(I43="","Валюта",""),IF(OR(AE43="",AE43&lt;1),"Хотя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земли",""),IF(OR(X43="",X43&lt;=0),"Минимальная цена продажи",""),IF(OR(Y43="",Y43&lt;=0),"Стартовая ставка",""),IF(Z43="","Начало аукциона",""),IF(AA43="","Окончание аукциона",""),IF(AND(W43&lt;&gt;"",X43&lt;&gt;"",X43&gt;W43),"Минимальная цена выше «Продать сейчас»",""),IF(AND(W43&lt;&gt;"",X43&lt;&gt;"",X43&lt;=W43,X43&gt;W43*0.9),"Минимальная цена выше 90% от «Продать сейчас»",""),IF(AND(W43&lt;&gt;"",Y43&lt;&gt;"",Y43&gt;W43*0.3),"Стартовая ставка выше 30% от «Продать сейчас»",""),IF(AND(Z43&lt;&gt;"",AA43&lt;&gt;"",AA43&lt;EDATE(Z43,3)+15),"Аукцион короче 3 месяцев и 15 дней",""),IF(AND(AB43="Да",OR(AC43="",AC43&lt;=0)),"Цена тест-драйва за сутки",""),IF(OR(AJ43="",AJ43="Нет"),"Право собственности",""),IF(OR(AK43="",AK43="Нет"),"Справка об отсутствии обременений",""))="","",TEXTJOIN(", ",TRUE,IF(B43="","Название",""),IF(C43="","Тип недвижимости",""),IF(D43="","Страна",""),IF(E43="","Город",""),IF(F43="","Улица",""),IF(I43="","Валюта",""),IF(OR(AE43="",AE43&lt;1),"Хотя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земли",""),IF(OR(X43="",X43&lt;=0),"Минимальная цена продажи",""),IF(OR(Y43="",Y43&lt;=0),"Стартовая ставка",""),IF(Z43="","Начало аукциона",""),IF(AA43="","Окончание аукциона",""),IF(AND(W43&lt;&gt;"",X43&lt;&gt;"",X43&gt;W43),"Минимальная цена выше «Продать сейчас»",""),IF(AND(W43&lt;&gt;"",X43&lt;&gt;"",X43&lt;=W43,X43&gt;W43*0.9),"Минимальная цена выше 90% от «Продать сейчас»",""),IF(AND(W43&lt;&gt;"",Y43&lt;&gt;"",Y43&gt;W43*0.3),"Стартовая ставка выше 30% от «Продать сейчас»",""),IF(AND(Z43&lt;&gt;"",AA43&lt;&gt;"",AA43&lt;EDATE(Z43,3)+15),"Аукцион короче 3 месяцев и 15 дней",""),IF(AND(AB43="Да",OR(AC43="",AC43&lt;=0)),"Цена тест-драйва за сутки",""),IF(OR(AJ43="",AJ43="Нет"),"Право собственности",""),IF(OR(AK43="",AK43="Нет"),"Справка об отсутствии обременений",""))))</f>
        <v/>
      </c>
      <c r="AN43" s="35">
        <f>IF(NOT(COUNTA(A43:AL43)&gt;0),"",IF(TEXTJOIN(", ",TRUE,IF(AH43="","Описание",""),IF(AND(AE43&lt;&gt;"",AE43&gt;=1,AE43&lt;5),"Фото меньше 5",""),IF(AG43="","Видео",""),IF(H43="","Кадастровый номер",""),IF(AF43="","Ссылка на фото",""))="","",TEXTJOIN(", ",TRUE,IF(AH43="","Описание",""),IF(AND(AE43&lt;&gt;"",AE43&gt;=1,AE43&lt;5),"Фото меньше 5",""),IF(AG43="","Видео",""),IF(H43="","Кадастровый номер",""),IF(AF43="","Ссылка на фото",""))))</f>
        <v/>
      </c>
      <c r="AO43" s="35">
        <f>IF(NOT(COUNTA(A43:AL43)&gt;0),"",IF(AM43="","Можно публиковать","Не хватает"))</f>
        <v/>
      </c>
    </row>
    <row r="44" ht="22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7" t="n"/>
      <c r="K44" s="37" t="n"/>
      <c r="L44" s="37" t="n"/>
      <c r="M44" s="38" t="n"/>
      <c r="N44" s="38" t="n"/>
      <c r="O44" s="38" t="n"/>
      <c r="P44" s="38" t="n"/>
      <c r="Q44" s="38" t="n"/>
      <c r="R44" s="38" t="n"/>
      <c r="S44" s="36" t="n"/>
      <c r="T44" s="36" t="n"/>
      <c r="U44" s="36" t="n"/>
      <c r="V44" s="36" t="n"/>
      <c r="W44" s="39" t="n"/>
      <c r="X44" s="39" t="n"/>
      <c r="Y44" s="39" t="n"/>
      <c r="Z44" s="40" t="n"/>
      <c r="AA44" s="40" t="n"/>
      <c r="AB44" s="36" t="n"/>
      <c r="AC44" s="39" t="n"/>
      <c r="AD44" s="39" t="n"/>
      <c r="AE44" s="38" t="n"/>
      <c r="AF44" s="36" t="n"/>
      <c r="AG44" s="36" t="n"/>
      <c r="AH44" s="36" t="n"/>
      <c r="AI44" s="36" t="n"/>
      <c r="AJ44" s="36" t="n"/>
      <c r="AK44" s="36" t="n"/>
      <c r="AL44" s="36" t="n"/>
      <c r="AM44" s="35">
        <f>IF(NOT(COUNTA(A44:AL44)&gt;0),"",IF(TEXTJOIN(", ",TRUE,IF(B44="","Название",""),IF(C44="","Тип недвижимости",""),IF(D44="","Страна",""),IF(E44="","Город",""),IF(F44="","Улица",""),IF(I44="","Валюта",""),IF(OR(AE44="",AE44&lt;1),"Хотя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земли",""),IF(OR(X44="",X44&lt;=0),"Минимальная цена продажи",""),IF(OR(Y44="",Y44&lt;=0),"Стартовая ставка",""),IF(Z44="","Начало аукциона",""),IF(AA44="","Окончание аукциона",""),IF(AND(W44&lt;&gt;"",X44&lt;&gt;"",X44&gt;W44),"Минимальная цена выше «Продать сейчас»",""),IF(AND(W44&lt;&gt;"",X44&lt;&gt;"",X44&lt;=W44,X44&gt;W44*0.9),"Минимальная цена выше 90% от «Продать сейчас»",""),IF(AND(W44&lt;&gt;"",Y44&lt;&gt;"",Y44&gt;W44*0.3),"Стартовая ставка выше 30% от «Продать сейчас»",""),IF(AND(Z44&lt;&gt;"",AA44&lt;&gt;"",AA44&lt;EDATE(Z44,3)+15),"Аукцион короче 3 месяцев и 15 дней",""),IF(AND(AB44="Да",OR(AC44="",AC44&lt;=0)),"Цена тест-драйва за сутки",""),IF(OR(AJ44="",AJ44="Нет"),"Право собственности",""),IF(OR(AK44="",AK44="Нет"),"Справка об отсутствии обременений",""))="","",TEXTJOIN(", ",TRUE,IF(B44="","Название",""),IF(C44="","Тип недвижимости",""),IF(D44="","Страна",""),IF(E44="","Город",""),IF(F44="","Улица",""),IF(I44="","Валюта",""),IF(OR(AE44="",AE44&lt;1),"Хотя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земли",""),IF(OR(X44="",X44&lt;=0),"Минимальная цена продажи",""),IF(OR(Y44="",Y44&lt;=0),"Стартовая ставка",""),IF(Z44="","Начало аукциона",""),IF(AA44="","Окончание аукциона",""),IF(AND(W44&lt;&gt;"",X44&lt;&gt;"",X44&gt;W44),"Минимальная цена выше «Продать сейчас»",""),IF(AND(W44&lt;&gt;"",X44&lt;&gt;"",X44&lt;=W44,X44&gt;W44*0.9),"Минимальная цена выше 90% от «Продать сейчас»",""),IF(AND(W44&lt;&gt;"",Y44&lt;&gt;"",Y44&gt;W44*0.3),"Стартовая ставка выше 30% от «Продать сейчас»",""),IF(AND(Z44&lt;&gt;"",AA44&lt;&gt;"",AA44&lt;EDATE(Z44,3)+15),"Аукцион короче 3 месяцев и 15 дней",""),IF(AND(AB44="Да",OR(AC44="",AC44&lt;=0)),"Цена тест-драйва за сутки",""),IF(OR(AJ44="",AJ44="Нет"),"Право собственности",""),IF(OR(AK44="",AK44="Нет"),"Справка об отсутствии обременений",""))))</f>
        <v/>
      </c>
      <c r="AN44" s="35">
        <f>IF(NOT(COUNTA(A44:AL44)&gt;0),"",IF(TEXTJOIN(", ",TRUE,IF(AH44="","Описание",""),IF(AND(AE44&lt;&gt;"",AE44&gt;=1,AE44&lt;5),"Фото меньше 5",""),IF(AG44="","Видео",""),IF(H44="","Кадастровый номер",""),IF(AF44="","Ссылка на фото",""))="","",TEXTJOIN(", ",TRUE,IF(AH44="","Описание",""),IF(AND(AE44&lt;&gt;"",AE44&gt;=1,AE44&lt;5),"Фото меньше 5",""),IF(AG44="","Видео",""),IF(H44="","Кадастровый номер",""),IF(AF44="","Ссылка на фото",""))))</f>
        <v/>
      </c>
      <c r="AO44" s="35">
        <f>IF(NOT(COUNTA(A44:AL44)&gt;0),"",IF(AM44="","Можно публиковать","Не хватает"))</f>
        <v/>
      </c>
    </row>
    <row r="45" ht="22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31" t="n"/>
      <c r="L45" s="31" t="n"/>
      <c r="M45" s="32" t="n"/>
      <c r="N45" s="32" t="n"/>
      <c r="O45" s="32" t="n"/>
      <c r="P45" s="32" t="n"/>
      <c r="Q45" s="32" t="n"/>
      <c r="R45" s="32" t="n"/>
      <c r="S45" s="30" t="n"/>
      <c r="T45" s="30" t="n"/>
      <c r="U45" s="30" t="n"/>
      <c r="V45" s="30" t="n"/>
      <c r="W45" s="33" t="n"/>
      <c r="X45" s="33" t="n"/>
      <c r="Y45" s="33" t="n"/>
      <c r="Z45" s="34" t="n"/>
      <c r="AA45" s="34" t="n"/>
      <c r="AB45" s="30" t="n"/>
      <c r="AC45" s="33" t="n"/>
      <c r="AD45" s="33" t="n"/>
      <c r="AE45" s="32" t="n"/>
      <c r="AF45" s="30" t="n"/>
      <c r="AG45" s="30" t="n"/>
      <c r="AH45" s="30" t="n"/>
      <c r="AI45" s="30" t="n"/>
      <c r="AJ45" s="30" t="n"/>
      <c r="AK45" s="30" t="n"/>
      <c r="AL45" s="30" t="n"/>
      <c r="AM45" s="35">
        <f>IF(NOT(COUNTA(A45:AL45)&gt;0),"",IF(TEXTJOIN(", ",TRUE,IF(B45="","Название",""),IF(C45="","Тип недвижимости",""),IF(D45="","Страна",""),IF(E45="","Город",""),IF(F45="","Улица",""),IF(I45="","Валюта",""),IF(OR(AE45="",AE45&lt;1),"Хотя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земли",""),IF(OR(X45="",X45&lt;=0),"Минимальная цена продажи",""),IF(OR(Y45="",Y45&lt;=0),"Стартовая ставка",""),IF(Z45="","Начало аукциона",""),IF(AA45="","Окончание аукциона",""),IF(AND(W45&lt;&gt;"",X45&lt;&gt;"",X45&gt;W45),"Минимальная цена выше «Продать сейчас»",""),IF(AND(W45&lt;&gt;"",X45&lt;&gt;"",X45&lt;=W45,X45&gt;W45*0.9),"Минимальная цена выше 90% от «Продать сейчас»",""),IF(AND(W45&lt;&gt;"",Y45&lt;&gt;"",Y45&gt;W45*0.3),"Стартовая ставка выше 30% от «Продать сейчас»",""),IF(AND(Z45&lt;&gt;"",AA45&lt;&gt;"",AA45&lt;EDATE(Z45,3)+15),"Аукцион короче 3 месяцев и 15 дней",""),IF(AND(AB45="Да",OR(AC45="",AC45&lt;=0)),"Цена тест-драйва за сутки",""),IF(OR(AJ45="",AJ45="Нет"),"Право собственности",""),IF(OR(AK45="",AK45="Нет"),"Справка об отсутствии обременений",""))="","",TEXTJOIN(", ",TRUE,IF(B45="","Название",""),IF(C45="","Тип недвижимости",""),IF(D45="","Страна",""),IF(E45="","Город",""),IF(F45="","Улица",""),IF(I45="","Валюта",""),IF(OR(AE45="",AE45&lt;1),"Хотя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земли",""),IF(OR(X45="",X45&lt;=0),"Минимальная цена продажи",""),IF(OR(Y45="",Y45&lt;=0),"Стартовая ставка",""),IF(Z45="","Начало аукциона",""),IF(AA45="","Окончание аукциона",""),IF(AND(W45&lt;&gt;"",X45&lt;&gt;"",X45&gt;W45),"Минимальная цена выше «Продать сейчас»",""),IF(AND(W45&lt;&gt;"",X45&lt;&gt;"",X45&lt;=W45,X45&gt;W45*0.9),"Минимальная цена выше 90% от «Продать сейчас»",""),IF(AND(W45&lt;&gt;"",Y45&lt;&gt;"",Y45&gt;W45*0.3),"Стартовая ставка выше 30% от «Продать сейчас»",""),IF(AND(Z45&lt;&gt;"",AA45&lt;&gt;"",AA45&lt;EDATE(Z45,3)+15),"Аукцион короче 3 месяцев и 15 дней",""),IF(AND(AB45="Да",OR(AC45="",AC45&lt;=0)),"Цена тест-драйва за сутки",""),IF(OR(AJ45="",AJ45="Нет"),"Право собственности",""),IF(OR(AK45="",AK45="Нет"),"Справка об отсутствии обременений",""))))</f>
        <v/>
      </c>
      <c r="AN45" s="35">
        <f>IF(NOT(COUNTA(A45:AL45)&gt;0),"",IF(TEXTJOIN(", ",TRUE,IF(AH45="","Описание",""),IF(AND(AE45&lt;&gt;"",AE45&gt;=1,AE45&lt;5),"Фото меньше 5",""),IF(AG45="","Видео",""),IF(H45="","Кадастровый номер",""),IF(AF45="","Ссылка на фото",""))="","",TEXTJOIN(", ",TRUE,IF(AH45="","Описание",""),IF(AND(AE45&lt;&gt;"",AE45&gt;=1,AE45&lt;5),"Фото меньше 5",""),IF(AG45="","Видео",""),IF(H45="","Кадастровый номер",""),IF(AF45="","Ссылка на фото",""))))</f>
        <v/>
      </c>
      <c r="AO45" s="35">
        <f>IF(NOT(COUNTA(A45:AL45)&gt;0),"",IF(AM45="","Можно публиковать","Не хватает"))</f>
        <v/>
      </c>
    </row>
    <row r="46" ht="22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7" t="n"/>
      <c r="K46" s="37" t="n"/>
      <c r="L46" s="37" t="n"/>
      <c r="M46" s="38" t="n"/>
      <c r="N46" s="38" t="n"/>
      <c r="O46" s="38" t="n"/>
      <c r="P46" s="38" t="n"/>
      <c r="Q46" s="38" t="n"/>
      <c r="R46" s="38" t="n"/>
      <c r="S46" s="36" t="n"/>
      <c r="T46" s="36" t="n"/>
      <c r="U46" s="36" t="n"/>
      <c r="V46" s="36" t="n"/>
      <c r="W46" s="39" t="n"/>
      <c r="X46" s="39" t="n"/>
      <c r="Y46" s="39" t="n"/>
      <c r="Z46" s="40" t="n"/>
      <c r="AA46" s="40" t="n"/>
      <c r="AB46" s="36" t="n"/>
      <c r="AC46" s="39" t="n"/>
      <c r="AD46" s="39" t="n"/>
      <c r="AE46" s="38" t="n"/>
      <c r="AF46" s="36" t="n"/>
      <c r="AG46" s="36" t="n"/>
      <c r="AH46" s="36" t="n"/>
      <c r="AI46" s="36" t="n"/>
      <c r="AJ46" s="36" t="n"/>
      <c r="AK46" s="36" t="n"/>
      <c r="AL46" s="36" t="n"/>
      <c r="AM46" s="35">
        <f>IF(NOT(COUNTA(A46:AL46)&gt;0),"",IF(TEXTJOIN(", ",TRUE,IF(B46="","Название",""),IF(C46="","Тип недвижимости",""),IF(D46="","Страна",""),IF(E46="","Город",""),IF(F46="","Улица",""),IF(I46="","Валюта",""),IF(OR(AE46="",AE46&lt;1),"Хотя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земли",""),IF(OR(X46="",X46&lt;=0),"Минимальная цена продажи",""),IF(OR(Y46="",Y46&lt;=0),"Стартовая ставка",""),IF(Z46="","Начало аукциона",""),IF(AA46="","Окончание аукциона",""),IF(AND(W46&lt;&gt;"",X46&lt;&gt;"",X46&gt;W46),"Минимальная цена выше «Продать сейчас»",""),IF(AND(W46&lt;&gt;"",X46&lt;&gt;"",X46&lt;=W46,X46&gt;W46*0.9),"Минимальная цена выше 90% от «Продать сейчас»",""),IF(AND(W46&lt;&gt;"",Y46&lt;&gt;"",Y46&gt;W46*0.3),"Стартовая ставка выше 30% от «Продать сейчас»",""),IF(AND(Z46&lt;&gt;"",AA46&lt;&gt;"",AA46&lt;EDATE(Z46,3)+15),"Аукцион короче 3 месяцев и 15 дней",""),IF(AND(AB46="Да",OR(AC46="",AC46&lt;=0)),"Цена тест-драйва за сутки",""),IF(OR(AJ46="",AJ46="Нет"),"Право собственности",""),IF(OR(AK46="",AK46="Нет"),"Справка об отсутствии обременений",""))="","",TEXTJOIN(", ",TRUE,IF(B46="","Название",""),IF(C46="","Тип недвижимости",""),IF(D46="","Страна",""),IF(E46="","Город",""),IF(F46="","Улица",""),IF(I46="","Валюта",""),IF(OR(AE46="",AE46&lt;1),"Хотя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земли",""),IF(OR(X46="",X46&lt;=0),"Минимальная цена продажи",""),IF(OR(Y46="",Y46&lt;=0),"Стартовая ставка",""),IF(Z46="","Начало аукциона",""),IF(AA46="","Окончание аукциона",""),IF(AND(W46&lt;&gt;"",X46&lt;&gt;"",X46&gt;W46),"Минимальная цена выше «Продать сейчас»",""),IF(AND(W46&lt;&gt;"",X46&lt;&gt;"",X46&lt;=W46,X46&gt;W46*0.9),"Минимальная цена выше 90% от «Продать сейчас»",""),IF(AND(W46&lt;&gt;"",Y46&lt;&gt;"",Y46&gt;W46*0.3),"Стартовая ставка выше 30% от «Продать сейчас»",""),IF(AND(Z46&lt;&gt;"",AA46&lt;&gt;"",AA46&lt;EDATE(Z46,3)+15),"Аукцион короче 3 месяцев и 15 дней",""),IF(AND(AB46="Да",OR(AC46="",AC46&lt;=0)),"Цена тест-драйва за сутки",""),IF(OR(AJ46="",AJ46="Нет"),"Право собственности",""),IF(OR(AK46="",AK46="Нет"),"Справка об отсутствии обременений",""))))</f>
        <v/>
      </c>
      <c r="AN46" s="35">
        <f>IF(NOT(COUNTA(A46:AL46)&gt;0),"",IF(TEXTJOIN(", ",TRUE,IF(AH46="","Описание",""),IF(AND(AE46&lt;&gt;"",AE46&gt;=1,AE46&lt;5),"Фото меньше 5",""),IF(AG46="","Видео",""),IF(H46="","Кадастровый номер",""),IF(AF46="","Ссылка на фото",""))="","",TEXTJOIN(", ",TRUE,IF(AH46="","Описание",""),IF(AND(AE46&lt;&gt;"",AE46&gt;=1,AE46&lt;5),"Фото меньше 5",""),IF(AG46="","Видео",""),IF(H46="","Кадастровый номер",""),IF(AF46="","Ссылка на фото",""))))</f>
        <v/>
      </c>
      <c r="AO46" s="35">
        <f>IF(NOT(COUNTA(A46:AL46)&gt;0),"",IF(AM46="","Можно публиковать","Не хватает"))</f>
        <v/>
      </c>
    </row>
    <row r="47" ht="22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 t="n"/>
      <c r="K47" s="31" t="n"/>
      <c r="L47" s="31" t="n"/>
      <c r="M47" s="32" t="n"/>
      <c r="N47" s="32" t="n"/>
      <c r="O47" s="32" t="n"/>
      <c r="P47" s="32" t="n"/>
      <c r="Q47" s="32" t="n"/>
      <c r="R47" s="32" t="n"/>
      <c r="S47" s="30" t="n"/>
      <c r="T47" s="30" t="n"/>
      <c r="U47" s="30" t="n"/>
      <c r="V47" s="30" t="n"/>
      <c r="W47" s="33" t="n"/>
      <c r="X47" s="33" t="n"/>
      <c r="Y47" s="33" t="n"/>
      <c r="Z47" s="34" t="n"/>
      <c r="AA47" s="34" t="n"/>
      <c r="AB47" s="30" t="n"/>
      <c r="AC47" s="33" t="n"/>
      <c r="AD47" s="33" t="n"/>
      <c r="AE47" s="32" t="n"/>
      <c r="AF47" s="30" t="n"/>
      <c r="AG47" s="30" t="n"/>
      <c r="AH47" s="30" t="n"/>
      <c r="AI47" s="30" t="n"/>
      <c r="AJ47" s="30" t="n"/>
      <c r="AK47" s="30" t="n"/>
      <c r="AL47" s="30" t="n"/>
      <c r="AM47" s="35">
        <f>IF(NOT(COUNTA(A47:AL47)&gt;0),"",IF(TEXTJOIN(", ",TRUE,IF(B47="","Название",""),IF(C47="","Тип недвижимости",""),IF(D47="","Страна",""),IF(E47="","Город",""),IF(F47="","Улица",""),IF(I47="","Валюта",""),IF(OR(AE47="",AE47&lt;1),"Хотя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земли",""),IF(OR(X47="",X47&lt;=0),"Минимальная цена продажи",""),IF(OR(Y47="",Y47&lt;=0),"Стартовая ставка",""),IF(Z47="","Начало аукциона",""),IF(AA47="","Окончание аукциона",""),IF(AND(W47&lt;&gt;"",X47&lt;&gt;"",X47&gt;W47),"Минимальная цена выше «Продать сейчас»",""),IF(AND(W47&lt;&gt;"",X47&lt;&gt;"",X47&lt;=W47,X47&gt;W47*0.9),"Минимальная цена выше 90% от «Продать сейчас»",""),IF(AND(W47&lt;&gt;"",Y47&lt;&gt;"",Y47&gt;W47*0.3),"Стартовая ставка выше 30% от «Продать сейчас»",""),IF(AND(Z47&lt;&gt;"",AA47&lt;&gt;"",AA47&lt;EDATE(Z47,3)+15),"Аукцион короче 3 месяцев и 15 дней",""),IF(AND(AB47="Да",OR(AC47="",AC47&lt;=0)),"Цена тест-драйва за сутки",""),IF(OR(AJ47="",AJ47="Нет"),"Право собственности",""),IF(OR(AK47="",AK47="Нет"),"Справка об отсутствии обременений",""))="","",TEXTJOIN(", ",TRUE,IF(B47="","Название",""),IF(C47="","Тип недвижимости",""),IF(D47="","Страна",""),IF(E47="","Город",""),IF(F47="","Улица",""),IF(I47="","Валюта",""),IF(OR(AE47="",AE47&lt;1),"Хотя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земли",""),IF(OR(X47="",X47&lt;=0),"Минимальная цена продажи",""),IF(OR(Y47="",Y47&lt;=0),"Стартовая ставка",""),IF(Z47="","Начало аукциона",""),IF(AA47="","Окончание аукциона",""),IF(AND(W47&lt;&gt;"",X47&lt;&gt;"",X47&gt;W47),"Минимальная цена выше «Продать сейчас»",""),IF(AND(W47&lt;&gt;"",X47&lt;&gt;"",X47&lt;=W47,X47&gt;W47*0.9),"Минимальная цена выше 90% от «Продать сейчас»",""),IF(AND(W47&lt;&gt;"",Y47&lt;&gt;"",Y47&gt;W47*0.3),"Стартовая ставка выше 30% от «Продать сейчас»",""),IF(AND(Z47&lt;&gt;"",AA47&lt;&gt;"",AA47&lt;EDATE(Z47,3)+15),"Аукцион короче 3 месяцев и 15 дней",""),IF(AND(AB47="Да",OR(AC47="",AC47&lt;=0)),"Цена тест-драйва за сутки",""),IF(OR(AJ47="",AJ47="Нет"),"Право собственности",""),IF(OR(AK47="",AK47="Нет"),"Справка об отсутствии обременений",""))))</f>
        <v/>
      </c>
      <c r="AN47" s="35">
        <f>IF(NOT(COUNTA(A47:AL47)&gt;0),"",IF(TEXTJOIN(", ",TRUE,IF(AH47="","Описание",""),IF(AND(AE47&lt;&gt;"",AE47&gt;=1,AE47&lt;5),"Фото меньше 5",""),IF(AG47="","Видео",""),IF(H47="","Кадастровый номер",""),IF(AF47="","Ссылка на фото",""))="","",TEXTJOIN(", ",TRUE,IF(AH47="","Описание",""),IF(AND(AE47&lt;&gt;"",AE47&gt;=1,AE47&lt;5),"Фото меньше 5",""),IF(AG47="","Видео",""),IF(H47="","Кадастровый номер",""),IF(AF47="","Ссылка на фото",""))))</f>
        <v/>
      </c>
      <c r="AO47" s="35">
        <f>IF(NOT(COUNTA(A47:AL47)&gt;0),"",IF(AM47="","Можно публиковать","Не хватает"))</f>
        <v/>
      </c>
    </row>
    <row r="48" ht="22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7" t="n"/>
      <c r="K48" s="37" t="n"/>
      <c r="L48" s="37" t="n"/>
      <c r="M48" s="38" t="n"/>
      <c r="N48" s="38" t="n"/>
      <c r="O48" s="38" t="n"/>
      <c r="P48" s="38" t="n"/>
      <c r="Q48" s="38" t="n"/>
      <c r="R48" s="38" t="n"/>
      <c r="S48" s="36" t="n"/>
      <c r="T48" s="36" t="n"/>
      <c r="U48" s="36" t="n"/>
      <c r="V48" s="36" t="n"/>
      <c r="W48" s="39" t="n"/>
      <c r="X48" s="39" t="n"/>
      <c r="Y48" s="39" t="n"/>
      <c r="Z48" s="40" t="n"/>
      <c r="AA48" s="40" t="n"/>
      <c r="AB48" s="36" t="n"/>
      <c r="AC48" s="39" t="n"/>
      <c r="AD48" s="39" t="n"/>
      <c r="AE48" s="38" t="n"/>
      <c r="AF48" s="36" t="n"/>
      <c r="AG48" s="36" t="n"/>
      <c r="AH48" s="36" t="n"/>
      <c r="AI48" s="36" t="n"/>
      <c r="AJ48" s="36" t="n"/>
      <c r="AK48" s="36" t="n"/>
      <c r="AL48" s="36" t="n"/>
      <c r="AM48" s="35">
        <f>IF(NOT(COUNTA(A48:AL48)&gt;0),"",IF(TEXTJOIN(", ",TRUE,IF(B48="","Название",""),IF(C48="","Тип недвижимости",""),IF(D48="","Страна",""),IF(E48="","Город",""),IF(F48="","Улица",""),IF(I48="","Валюта",""),IF(OR(AE48="",AE48&lt;1),"Хотя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земли",""),IF(OR(X48="",X48&lt;=0),"Минимальная цена продажи",""),IF(OR(Y48="",Y48&lt;=0),"Стартовая ставка",""),IF(Z48="","Начало аукциона",""),IF(AA48="","Окончание аукциона",""),IF(AND(W48&lt;&gt;"",X48&lt;&gt;"",X48&gt;W48),"Минимальная цена выше «Продать сейчас»",""),IF(AND(W48&lt;&gt;"",X48&lt;&gt;"",X48&lt;=W48,X48&gt;W48*0.9),"Минимальная цена выше 90% от «Продать сейчас»",""),IF(AND(W48&lt;&gt;"",Y48&lt;&gt;"",Y48&gt;W48*0.3),"Стартовая ставка выше 30% от «Продать сейчас»",""),IF(AND(Z48&lt;&gt;"",AA48&lt;&gt;"",AA48&lt;EDATE(Z48,3)+15),"Аукцион короче 3 месяцев и 15 дней",""),IF(AND(AB48="Да",OR(AC48="",AC48&lt;=0)),"Цена тест-драйва за сутки",""),IF(OR(AJ48="",AJ48="Нет"),"Право собственности",""),IF(OR(AK48="",AK48="Нет"),"Справка об отсутствии обременений",""))="","",TEXTJOIN(", ",TRUE,IF(B48="","Название",""),IF(C48="","Тип недвижимости",""),IF(D48="","Страна",""),IF(E48="","Город",""),IF(F48="","Улица",""),IF(I48="","Валюта",""),IF(OR(AE48="",AE48&lt;1),"Хотя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земли",""),IF(OR(X48="",X48&lt;=0),"Минимальная цена продажи",""),IF(OR(Y48="",Y48&lt;=0),"Стартовая ставка",""),IF(Z48="","Начало аукциона",""),IF(AA48="","Окончание аукциона",""),IF(AND(W48&lt;&gt;"",X48&lt;&gt;"",X48&gt;W48),"Минимальная цена выше «Продать сейчас»",""),IF(AND(W48&lt;&gt;"",X48&lt;&gt;"",X48&lt;=W48,X48&gt;W48*0.9),"Минимальная цена выше 90% от «Продать сейчас»",""),IF(AND(W48&lt;&gt;"",Y48&lt;&gt;"",Y48&gt;W48*0.3),"Стартовая ставка выше 30% от «Продать сейчас»",""),IF(AND(Z48&lt;&gt;"",AA48&lt;&gt;"",AA48&lt;EDATE(Z48,3)+15),"Аукцион короче 3 месяцев и 15 дней",""),IF(AND(AB48="Да",OR(AC48="",AC48&lt;=0)),"Цена тест-драйва за сутки",""),IF(OR(AJ48="",AJ48="Нет"),"Право собственности",""),IF(OR(AK48="",AK48="Нет"),"Справка об отсутствии обременений",""))))</f>
        <v/>
      </c>
      <c r="AN48" s="35">
        <f>IF(NOT(COUNTA(A48:AL48)&gt;0),"",IF(TEXTJOIN(", ",TRUE,IF(AH48="","Описание",""),IF(AND(AE48&lt;&gt;"",AE48&gt;=1,AE48&lt;5),"Фото меньше 5",""),IF(AG48="","Видео",""),IF(H48="","Кадастровый номер",""),IF(AF48="","Ссылка на фото",""))="","",TEXTJOIN(", ",TRUE,IF(AH48="","Описание",""),IF(AND(AE48&lt;&gt;"",AE48&gt;=1,AE48&lt;5),"Фото меньше 5",""),IF(AG48="","Видео",""),IF(H48="","Кадастровый номер",""),IF(AF48="","Ссылка на фото",""))))</f>
        <v/>
      </c>
      <c r="AO48" s="35">
        <f>IF(NOT(COUNTA(A48:AL48)&gt;0),"",IF(AM48="","Можно публиковать","Не хватает"))</f>
        <v/>
      </c>
    </row>
    <row r="49" ht="22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  <c r="K49" s="31" t="n"/>
      <c r="L49" s="31" t="n"/>
      <c r="M49" s="32" t="n"/>
      <c r="N49" s="32" t="n"/>
      <c r="O49" s="32" t="n"/>
      <c r="P49" s="32" t="n"/>
      <c r="Q49" s="32" t="n"/>
      <c r="R49" s="32" t="n"/>
      <c r="S49" s="30" t="n"/>
      <c r="T49" s="30" t="n"/>
      <c r="U49" s="30" t="n"/>
      <c r="V49" s="30" t="n"/>
      <c r="W49" s="33" t="n"/>
      <c r="X49" s="33" t="n"/>
      <c r="Y49" s="33" t="n"/>
      <c r="Z49" s="34" t="n"/>
      <c r="AA49" s="34" t="n"/>
      <c r="AB49" s="30" t="n"/>
      <c r="AC49" s="33" t="n"/>
      <c r="AD49" s="33" t="n"/>
      <c r="AE49" s="32" t="n"/>
      <c r="AF49" s="30" t="n"/>
      <c r="AG49" s="30" t="n"/>
      <c r="AH49" s="30" t="n"/>
      <c r="AI49" s="30" t="n"/>
      <c r="AJ49" s="30" t="n"/>
      <c r="AK49" s="30" t="n"/>
      <c r="AL49" s="30" t="n"/>
      <c r="AM49" s="35">
        <f>IF(NOT(COUNTA(A49:AL49)&gt;0),"",IF(TEXTJOIN(", ",TRUE,IF(B49="","Название",""),IF(C49="","Тип недвижимости",""),IF(D49="","Страна",""),IF(E49="","Город",""),IF(F49="","Улица",""),IF(I49="","Валюта",""),IF(OR(AE49="",AE49&lt;1),"Хотя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земли",""),IF(OR(X49="",X49&lt;=0),"Минимальная цена продажи",""),IF(OR(Y49="",Y49&lt;=0),"Стартовая ставка",""),IF(Z49="","Начало аукциона",""),IF(AA49="","Окончание аукциона",""),IF(AND(W49&lt;&gt;"",X49&lt;&gt;"",X49&gt;W49),"Минимальная цена выше «Продать сейчас»",""),IF(AND(W49&lt;&gt;"",X49&lt;&gt;"",X49&lt;=W49,X49&gt;W49*0.9),"Минимальная цена выше 90% от «Продать сейчас»",""),IF(AND(W49&lt;&gt;"",Y49&lt;&gt;"",Y49&gt;W49*0.3),"Стартовая ставка выше 30% от «Продать сейчас»",""),IF(AND(Z49&lt;&gt;"",AA49&lt;&gt;"",AA49&lt;EDATE(Z49,3)+15),"Аукцион короче 3 месяцев и 15 дней",""),IF(AND(AB49="Да",OR(AC49="",AC49&lt;=0)),"Цена тест-драйва за сутки",""),IF(OR(AJ49="",AJ49="Нет"),"Право собственности",""),IF(OR(AK49="",AK49="Нет"),"Справка об отсутствии обременений",""))="","",TEXTJOIN(", ",TRUE,IF(B49="","Название",""),IF(C49="","Тип недвижимости",""),IF(D49="","Страна",""),IF(E49="","Город",""),IF(F49="","Улица",""),IF(I49="","Валюта",""),IF(OR(AE49="",AE49&lt;1),"Хотя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земли",""),IF(OR(X49="",X49&lt;=0),"Минимальная цена продажи",""),IF(OR(Y49="",Y49&lt;=0),"Стартовая ставка",""),IF(Z49="","Начало аукциона",""),IF(AA49="","Окончание аукциона",""),IF(AND(W49&lt;&gt;"",X49&lt;&gt;"",X49&gt;W49),"Минимальная цена выше «Продать сейчас»",""),IF(AND(W49&lt;&gt;"",X49&lt;&gt;"",X49&lt;=W49,X49&gt;W49*0.9),"Минимальная цена выше 90% от «Продать сейчас»",""),IF(AND(W49&lt;&gt;"",Y49&lt;&gt;"",Y49&gt;W49*0.3),"Стартовая ставка выше 30% от «Продать сейчас»",""),IF(AND(Z49&lt;&gt;"",AA49&lt;&gt;"",AA49&lt;EDATE(Z49,3)+15),"Аукцион короче 3 месяцев и 15 дней",""),IF(AND(AB49="Да",OR(AC49="",AC49&lt;=0)),"Цена тест-драйва за сутки",""),IF(OR(AJ49="",AJ49="Нет"),"Право собственности",""),IF(OR(AK49="",AK49="Нет"),"Справка об отсутствии обременений",""))))</f>
        <v/>
      </c>
      <c r="AN49" s="35">
        <f>IF(NOT(COUNTA(A49:AL49)&gt;0),"",IF(TEXTJOIN(", ",TRUE,IF(AH49="","Описание",""),IF(AND(AE49&lt;&gt;"",AE49&gt;=1,AE49&lt;5),"Фото меньше 5",""),IF(AG49="","Видео",""),IF(H49="","Кадастровый номер",""),IF(AF49="","Ссылка на фото",""))="","",TEXTJOIN(", ",TRUE,IF(AH49="","Описание",""),IF(AND(AE49&lt;&gt;"",AE49&gt;=1,AE49&lt;5),"Фото меньше 5",""),IF(AG49="","Видео",""),IF(H49="","Кадастровый номер",""),IF(AF49="","Ссылка на фото",""))))</f>
        <v/>
      </c>
      <c r="AO49" s="35">
        <f>IF(NOT(COUNTA(A49:AL49)&gt;0),"",IF(AM49="","Можно публиковать","Не хватает"))</f>
        <v/>
      </c>
    </row>
    <row r="50" ht="22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7" t="n"/>
      <c r="K50" s="37" t="n"/>
      <c r="L50" s="37" t="n"/>
      <c r="M50" s="38" t="n"/>
      <c r="N50" s="38" t="n"/>
      <c r="O50" s="38" t="n"/>
      <c r="P50" s="38" t="n"/>
      <c r="Q50" s="38" t="n"/>
      <c r="R50" s="38" t="n"/>
      <c r="S50" s="36" t="n"/>
      <c r="T50" s="36" t="n"/>
      <c r="U50" s="36" t="n"/>
      <c r="V50" s="36" t="n"/>
      <c r="W50" s="39" t="n"/>
      <c r="X50" s="39" t="n"/>
      <c r="Y50" s="39" t="n"/>
      <c r="Z50" s="40" t="n"/>
      <c r="AA50" s="40" t="n"/>
      <c r="AB50" s="36" t="n"/>
      <c r="AC50" s="39" t="n"/>
      <c r="AD50" s="39" t="n"/>
      <c r="AE50" s="38" t="n"/>
      <c r="AF50" s="36" t="n"/>
      <c r="AG50" s="36" t="n"/>
      <c r="AH50" s="36" t="n"/>
      <c r="AI50" s="36" t="n"/>
      <c r="AJ50" s="36" t="n"/>
      <c r="AK50" s="36" t="n"/>
      <c r="AL50" s="36" t="n"/>
      <c r="AM50" s="35">
        <f>IF(NOT(COUNTA(A50:AL50)&gt;0),"",IF(TEXTJOIN(", ",TRUE,IF(B50="","Название",""),IF(C50="","Тип недвижимости",""),IF(D50="","Страна",""),IF(E50="","Город",""),IF(F50="","Улица",""),IF(I50="","Валюта",""),IF(OR(AE50="",AE50&lt;1),"Хотя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земли",""),IF(OR(X50="",X50&lt;=0),"Минимальная цена продажи",""),IF(OR(Y50="",Y50&lt;=0),"Стартовая ставка",""),IF(Z50="","Начало аукциона",""),IF(AA50="","Окончание аукциона",""),IF(AND(W50&lt;&gt;"",X50&lt;&gt;"",X50&gt;W50),"Минимальная цена выше «Продать сейчас»",""),IF(AND(W50&lt;&gt;"",X50&lt;&gt;"",X50&lt;=W50,X50&gt;W50*0.9),"Минимальная цена выше 90% от «Продать сейчас»",""),IF(AND(W50&lt;&gt;"",Y50&lt;&gt;"",Y50&gt;W50*0.3),"Стартовая ставка выше 30% от «Продать сейчас»",""),IF(AND(Z50&lt;&gt;"",AA50&lt;&gt;"",AA50&lt;EDATE(Z50,3)+15),"Аукцион короче 3 месяцев и 15 дней",""),IF(AND(AB50="Да",OR(AC50="",AC50&lt;=0)),"Цена тест-драйва за сутки",""),IF(OR(AJ50="",AJ50="Нет"),"Право собственности",""),IF(OR(AK50="",AK50="Нет"),"Справка об отсутствии обременений",""))="","",TEXTJOIN(", ",TRUE,IF(B50="","Название",""),IF(C50="","Тип недвижимости",""),IF(D50="","Страна",""),IF(E50="","Город",""),IF(F50="","Улица",""),IF(I50="","Валюта",""),IF(OR(AE50="",AE50&lt;1),"Хотя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земли",""),IF(OR(X50="",X50&lt;=0),"Минимальная цена продажи",""),IF(OR(Y50="",Y50&lt;=0),"Стартовая ставка",""),IF(Z50="","Начало аукциона",""),IF(AA50="","Окончание аукциона",""),IF(AND(W50&lt;&gt;"",X50&lt;&gt;"",X50&gt;W50),"Минимальная цена выше «Продать сейчас»",""),IF(AND(W50&lt;&gt;"",X50&lt;&gt;"",X50&lt;=W50,X50&gt;W50*0.9),"Минимальная цена выше 90% от «Продать сейчас»",""),IF(AND(W50&lt;&gt;"",Y50&lt;&gt;"",Y50&gt;W50*0.3),"Стартовая ставка выше 30% от «Продать сейчас»",""),IF(AND(Z50&lt;&gt;"",AA50&lt;&gt;"",AA50&lt;EDATE(Z50,3)+15),"Аукцион короче 3 месяцев и 15 дней",""),IF(AND(AB50="Да",OR(AC50="",AC50&lt;=0)),"Цена тест-драйва за сутки",""),IF(OR(AJ50="",AJ50="Нет"),"Право собственности",""),IF(OR(AK50="",AK50="Нет"),"Справка об отсутствии обременений",""))))</f>
        <v/>
      </c>
      <c r="AN50" s="35">
        <f>IF(NOT(COUNTA(A50:AL50)&gt;0),"",IF(TEXTJOIN(", ",TRUE,IF(AH50="","Описание",""),IF(AND(AE50&lt;&gt;"",AE50&gt;=1,AE50&lt;5),"Фото меньше 5",""),IF(AG50="","Видео",""),IF(H50="","Кадастровый номер",""),IF(AF50="","Ссылка на фото",""))="","",TEXTJOIN(", ",TRUE,IF(AH50="","Описание",""),IF(AND(AE50&lt;&gt;"",AE50&gt;=1,AE50&lt;5),"Фото меньше 5",""),IF(AG50="","Видео",""),IF(H50="","Кадастровый номер",""),IF(AF50="","Ссылка на фото",""))))</f>
        <v/>
      </c>
      <c r="AO50" s="35">
        <f>IF(NOT(COUNTA(A50:AL50)&gt;0),"",IF(AM50="","Можно публиковать","Не хватает"))</f>
        <v/>
      </c>
    </row>
    <row r="51" ht="22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 t="n"/>
      <c r="K51" s="31" t="n"/>
      <c r="L51" s="31" t="n"/>
      <c r="M51" s="32" t="n"/>
      <c r="N51" s="32" t="n"/>
      <c r="O51" s="32" t="n"/>
      <c r="P51" s="32" t="n"/>
      <c r="Q51" s="32" t="n"/>
      <c r="R51" s="32" t="n"/>
      <c r="S51" s="30" t="n"/>
      <c r="T51" s="30" t="n"/>
      <c r="U51" s="30" t="n"/>
      <c r="V51" s="30" t="n"/>
      <c r="W51" s="33" t="n"/>
      <c r="X51" s="33" t="n"/>
      <c r="Y51" s="33" t="n"/>
      <c r="Z51" s="34" t="n"/>
      <c r="AA51" s="34" t="n"/>
      <c r="AB51" s="30" t="n"/>
      <c r="AC51" s="33" t="n"/>
      <c r="AD51" s="33" t="n"/>
      <c r="AE51" s="32" t="n"/>
      <c r="AF51" s="30" t="n"/>
      <c r="AG51" s="30" t="n"/>
      <c r="AH51" s="30" t="n"/>
      <c r="AI51" s="30" t="n"/>
      <c r="AJ51" s="30" t="n"/>
      <c r="AK51" s="30" t="n"/>
      <c r="AL51" s="30" t="n"/>
      <c r="AM51" s="35">
        <f>IF(NOT(COUNTA(A51:AL51)&gt;0),"",IF(TEXTJOIN(", ",TRUE,IF(B51="","Название",""),IF(C51="","Тип недвижимости",""),IF(D51="","Страна",""),IF(E51="","Город",""),IF(F51="","Улица",""),IF(I51="","Валюта",""),IF(OR(AE51="",AE51&lt;1),"Хотя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земли",""),IF(OR(X51="",X51&lt;=0),"Минимальная цена продажи",""),IF(OR(Y51="",Y51&lt;=0),"Стартовая ставка",""),IF(Z51="","Начало аукциона",""),IF(AA51="","Окончание аукциона",""),IF(AND(W51&lt;&gt;"",X51&lt;&gt;"",X51&gt;W51),"Минимальная цена выше «Продать сейчас»",""),IF(AND(W51&lt;&gt;"",X51&lt;&gt;"",X51&lt;=W51,X51&gt;W51*0.9),"Минимальная цена выше 90% от «Продать сейчас»",""),IF(AND(W51&lt;&gt;"",Y51&lt;&gt;"",Y51&gt;W51*0.3),"Стартовая ставка выше 30% от «Продать сейчас»",""),IF(AND(Z51&lt;&gt;"",AA51&lt;&gt;"",AA51&lt;EDATE(Z51,3)+15),"Аукцион короче 3 месяцев и 15 дней",""),IF(AND(AB51="Да",OR(AC51="",AC51&lt;=0)),"Цена тест-драйва за сутки",""),IF(OR(AJ51="",AJ51="Нет"),"Право собственности",""),IF(OR(AK51="",AK51="Нет"),"Справка об отсутствии обременений",""))="","",TEXTJOIN(", ",TRUE,IF(B51="","Название",""),IF(C51="","Тип недвижимости",""),IF(D51="","Страна",""),IF(E51="","Город",""),IF(F51="","Улица",""),IF(I51="","Валюта",""),IF(OR(AE51="",AE51&lt;1),"Хотя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земли",""),IF(OR(X51="",X51&lt;=0),"Минимальная цена продажи",""),IF(OR(Y51="",Y51&lt;=0),"Стартовая ставка",""),IF(Z51="","Начало аукциона",""),IF(AA51="","Окончание аукциона",""),IF(AND(W51&lt;&gt;"",X51&lt;&gt;"",X51&gt;W51),"Минимальная цена выше «Продать сейчас»",""),IF(AND(W51&lt;&gt;"",X51&lt;&gt;"",X51&lt;=W51,X51&gt;W51*0.9),"Минимальная цена выше 90% от «Продать сейчас»",""),IF(AND(W51&lt;&gt;"",Y51&lt;&gt;"",Y51&gt;W51*0.3),"Стартовая ставка выше 30% от «Продать сейчас»",""),IF(AND(Z51&lt;&gt;"",AA51&lt;&gt;"",AA51&lt;EDATE(Z51,3)+15),"Аукцион короче 3 месяцев и 15 дней",""),IF(AND(AB51="Да",OR(AC51="",AC51&lt;=0)),"Цена тест-драйва за сутки",""),IF(OR(AJ51="",AJ51="Нет"),"Право собственности",""),IF(OR(AK51="",AK51="Нет"),"Справка об отсутствии обременений",""))))</f>
        <v/>
      </c>
      <c r="AN51" s="35">
        <f>IF(NOT(COUNTA(A51:AL51)&gt;0),"",IF(TEXTJOIN(", ",TRUE,IF(AH51="","Описание",""),IF(AND(AE51&lt;&gt;"",AE51&gt;=1,AE51&lt;5),"Фото меньше 5",""),IF(AG51="","Видео",""),IF(H51="","Кадастровый номер",""),IF(AF51="","Ссылка на фото",""))="","",TEXTJOIN(", ",TRUE,IF(AH51="","Описание",""),IF(AND(AE51&lt;&gt;"",AE51&gt;=1,AE51&lt;5),"Фото меньше 5",""),IF(AG51="","Видео",""),IF(H51="","Кадастровый номер",""),IF(AF51="","Ссылка на фото",""))))</f>
        <v/>
      </c>
      <c r="AO51" s="35">
        <f>IF(NOT(COUNTA(A51:AL51)&gt;0),"",IF(AM51="","Можно публиковать","Не хватает"))</f>
        <v/>
      </c>
    </row>
    <row r="52" ht="22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7" t="n"/>
      <c r="K52" s="37" t="n"/>
      <c r="L52" s="37" t="n"/>
      <c r="M52" s="38" t="n"/>
      <c r="N52" s="38" t="n"/>
      <c r="O52" s="38" t="n"/>
      <c r="P52" s="38" t="n"/>
      <c r="Q52" s="38" t="n"/>
      <c r="R52" s="38" t="n"/>
      <c r="S52" s="36" t="n"/>
      <c r="T52" s="36" t="n"/>
      <c r="U52" s="36" t="n"/>
      <c r="V52" s="36" t="n"/>
      <c r="W52" s="39" t="n"/>
      <c r="X52" s="39" t="n"/>
      <c r="Y52" s="39" t="n"/>
      <c r="Z52" s="40" t="n"/>
      <c r="AA52" s="40" t="n"/>
      <c r="AB52" s="36" t="n"/>
      <c r="AC52" s="39" t="n"/>
      <c r="AD52" s="39" t="n"/>
      <c r="AE52" s="38" t="n"/>
      <c r="AF52" s="36" t="n"/>
      <c r="AG52" s="36" t="n"/>
      <c r="AH52" s="36" t="n"/>
      <c r="AI52" s="36" t="n"/>
      <c r="AJ52" s="36" t="n"/>
      <c r="AK52" s="36" t="n"/>
      <c r="AL52" s="36" t="n"/>
      <c r="AM52" s="35">
        <f>IF(NOT(COUNTA(A52:AL52)&gt;0),"",IF(TEXTJOIN(", ",TRUE,IF(B52="","Название",""),IF(C52="","Тип недвижимости",""),IF(D52="","Страна",""),IF(E52="","Город",""),IF(F52="","Улица",""),IF(I52="","Валюта",""),IF(OR(AE52="",AE52&lt;1),"Хотя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земли",""),IF(OR(X52="",X52&lt;=0),"Минимальная цена продажи",""),IF(OR(Y52="",Y52&lt;=0),"Стартовая ставка",""),IF(Z52="","Начало аукциона",""),IF(AA52="","Окончание аукциона",""),IF(AND(W52&lt;&gt;"",X52&lt;&gt;"",X52&gt;W52),"Минимальная цена выше «Продать сейчас»",""),IF(AND(W52&lt;&gt;"",X52&lt;&gt;"",X52&lt;=W52,X52&gt;W52*0.9),"Минимальная цена выше 90% от «Продать сейчас»",""),IF(AND(W52&lt;&gt;"",Y52&lt;&gt;"",Y52&gt;W52*0.3),"Стартовая ставка выше 30% от «Продать сейчас»",""),IF(AND(Z52&lt;&gt;"",AA52&lt;&gt;"",AA52&lt;EDATE(Z52,3)+15),"Аукцион короче 3 месяцев и 15 дней",""),IF(AND(AB52="Да",OR(AC52="",AC52&lt;=0)),"Цена тест-драйва за сутки",""),IF(OR(AJ52="",AJ52="Нет"),"Право собственности",""),IF(OR(AK52="",AK52="Нет"),"Справка об отсутствии обременений",""))="","",TEXTJOIN(", ",TRUE,IF(B52="","Название",""),IF(C52="","Тип недвижимости",""),IF(D52="","Страна",""),IF(E52="","Город",""),IF(F52="","Улица",""),IF(I52="","Валюта",""),IF(OR(AE52="",AE52&lt;1),"Хотя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земли",""),IF(OR(X52="",X52&lt;=0),"Минимальная цена продажи",""),IF(OR(Y52="",Y52&lt;=0),"Стартовая ставка",""),IF(Z52="","Начало аукциона",""),IF(AA52="","Окончание аукциона",""),IF(AND(W52&lt;&gt;"",X52&lt;&gt;"",X52&gt;W52),"Минимальная цена выше «Продать сейчас»",""),IF(AND(W52&lt;&gt;"",X52&lt;&gt;"",X52&lt;=W52,X52&gt;W52*0.9),"Минимальная цена выше 90% от «Продать сейчас»",""),IF(AND(W52&lt;&gt;"",Y52&lt;&gt;"",Y52&gt;W52*0.3),"Стартовая ставка выше 30% от «Продать сейчас»",""),IF(AND(Z52&lt;&gt;"",AA52&lt;&gt;"",AA52&lt;EDATE(Z52,3)+15),"Аукцион короче 3 месяцев и 15 дней",""),IF(AND(AB52="Да",OR(AC52="",AC52&lt;=0)),"Цена тест-драйва за сутки",""),IF(OR(AJ52="",AJ52="Нет"),"Право собственности",""),IF(OR(AK52="",AK52="Нет"),"Справка об отсутствии обременений",""))))</f>
        <v/>
      </c>
      <c r="AN52" s="35">
        <f>IF(NOT(COUNTA(A52:AL52)&gt;0),"",IF(TEXTJOIN(", ",TRUE,IF(AH52="","Описание",""),IF(AND(AE52&lt;&gt;"",AE52&gt;=1,AE52&lt;5),"Фото меньше 5",""),IF(AG52="","Видео",""),IF(H52="","Кадастровый номер",""),IF(AF52="","Ссылка на фото",""))="","",TEXTJOIN(", ",TRUE,IF(AH52="","Описание",""),IF(AND(AE52&lt;&gt;"",AE52&gt;=1,AE52&lt;5),"Фото меньше 5",""),IF(AG52="","Видео",""),IF(H52="","Кадастровый номер",""),IF(AF52="","Ссылка на фото",""))))</f>
        <v/>
      </c>
      <c r="AO52" s="35">
        <f>IF(NOT(COUNTA(A52:AL52)&gt;0),"",IF(AM52="","Можно публиковать","Не хватает"))</f>
        <v/>
      </c>
    </row>
    <row r="53" ht="22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  <c r="K53" s="31" t="n"/>
      <c r="L53" s="31" t="n"/>
      <c r="M53" s="32" t="n"/>
      <c r="N53" s="32" t="n"/>
      <c r="O53" s="32" t="n"/>
      <c r="P53" s="32" t="n"/>
      <c r="Q53" s="32" t="n"/>
      <c r="R53" s="32" t="n"/>
      <c r="S53" s="30" t="n"/>
      <c r="T53" s="30" t="n"/>
      <c r="U53" s="30" t="n"/>
      <c r="V53" s="30" t="n"/>
      <c r="W53" s="33" t="n"/>
      <c r="X53" s="33" t="n"/>
      <c r="Y53" s="33" t="n"/>
      <c r="Z53" s="34" t="n"/>
      <c r="AA53" s="34" t="n"/>
      <c r="AB53" s="30" t="n"/>
      <c r="AC53" s="33" t="n"/>
      <c r="AD53" s="33" t="n"/>
      <c r="AE53" s="32" t="n"/>
      <c r="AF53" s="30" t="n"/>
      <c r="AG53" s="30" t="n"/>
      <c r="AH53" s="30" t="n"/>
      <c r="AI53" s="30" t="n"/>
      <c r="AJ53" s="30" t="n"/>
      <c r="AK53" s="30" t="n"/>
      <c r="AL53" s="30" t="n"/>
      <c r="AM53" s="35">
        <f>IF(NOT(COUNTA(A53:AL53)&gt;0),"",IF(TEXTJOIN(", ",TRUE,IF(B53="","Название",""),IF(C53="","Тип недвижимости",""),IF(D53="","Страна",""),IF(E53="","Город",""),IF(F53="","Улица",""),IF(I53="","Валюта",""),IF(OR(AE53="",AE53&lt;1),"Хотя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земли",""),IF(OR(X53="",X53&lt;=0),"Минимальная цена продажи",""),IF(OR(Y53="",Y53&lt;=0),"Стартовая ставка",""),IF(Z53="","Начало аукциона",""),IF(AA53="","Окончание аукциона",""),IF(AND(W53&lt;&gt;"",X53&lt;&gt;"",X53&gt;W53),"Минимальная цена выше «Продать сейчас»",""),IF(AND(W53&lt;&gt;"",X53&lt;&gt;"",X53&lt;=W53,X53&gt;W53*0.9),"Минимальная цена выше 90% от «Продать сейчас»",""),IF(AND(W53&lt;&gt;"",Y53&lt;&gt;"",Y53&gt;W53*0.3),"Стартовая ставка выше 30% от «Продать сейчас»",""),IF(AND(Z53&lt;&gt;"",AA53&lt;&gt;"",AA53&lt;EDATE(Z53,3)+15),"Аукцион короче 3 месяцев и 15 дней",""),IF(AND(AB53="Да",OR(AC53="",AC53&lt;=0)),"Цена тест-драйва за сутки",""),IF(OR(AJ53="",AJ53="Нет"),"Право собственности",""),IF(OR(AK53="",AK53="Нет"),"Справка об отсутствии обременений",""))="","",TEXTJOIN(", ",TRUE,IF(B53="","Название",""),IF(C53="","Тип недвижимости",""),IF(D53="","Страна",""),IF(E53="","Город",""),IF(F53="","Улица",""),IF(I53="","Валюта",""),IF(OR(AE53="",AE53&lt;1),"Хотя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земли",""),IF(OR(X53="",X53&lt;=0),"Минимальная цена продажи",""),IF(OR(Y53="",Y53&lt;=0),"Стартовая ставка",""),IF(Z53="","Начало аукциона",""),IF(AA53="","Окончание аукциона",""),IF(AND(W53&lt;&gt;"",X53&lt;&gt;"",X53&gt;W53),"Минимальная цена выше «Продать сейчас»",""),IF(AND(W53&lt;&gt;"",X53&lt;&gt;"",X53&lt;=W53,X53&gt;W53*0.9),"Минимальная цена выше 90% от «Продать сейчас»",""),IF(AND(W53&lt;&gt;"",Y53&lt;&gt;"",Y53&gt;W53*0.3),"Стартовая ставка выше 30% от «Продать сейчас»",""),IF(AND(Z53&lt;&gt;"",AA53&lt;&gt;"",AA53&lt;EDATE(Z53,3)+15),"Аукцион короче 3 месяцев и 15 дней",""),IF(AND(AB53="Да",OR(AC53="",AC53&lt;=0)),"Цена тест-драйва за сутки",""),IF(OR(AJ53="",AJ53="Нет"),"Право собственности",""),IF(OR(AK53="",AK53="Нет"),"Справка об отсутствии обременений",""))))</f>
        <v/>
      </c>
      <c r="AN53" s="35">
        <f>IF(NOT(COUNTA(A53:AL53)&gt;0),"",IF(TEXTJOIN(", ",TRUE,IF(AH53="","Описание",""),IF(AND(AE53&lt;&gt;"",AE53&gt;=1,AE53&lt;5),"Фото меньше 5",""),IF(AG53="","Видео",""),IF(H53="","Кадастровый номер",""),IF(AF53="","Ссылка на фото",""))="","",TEXTJOIN(", ",TRUE,IF(AH53="","Описание",""),IF(AND(AE53&lt;&gt;"",AE53&gt;=1,AE53&lt;5),"Фото меньше 5",""),IF(AG53="","Видео",""),IF(H53="","Кадастровый номер",""),IF(AF53="","Ссылка на фото",""))))</f>
        <v/>
      </c>
      <c r="AO53" s="35">
        <f>IF(NOT(COUNTA(A53:AL53)&gt;0),"",IF(AM53="","Можно публиковать","Не хватает"))</f>
        <v/>
      </c>
    </row>
    <row r="54" ht="22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7" t="n"/>
      <c r="K54" s="37" t="n"/>
      <c r="L54" s="37" t="n"/>
      <c r="M54" s="38" t="n"/>
      <c r="N54" s="38" t="n"/>
      <c r="O54" s="38" t="n"/>
      <c r="P54" s="38" t="n"/>
      <c r="Q54" s="38" t="n"/>
      <c r="R54" s="38" t="n"/>
      <c r="S54" s="36" t="n"/>
      <c r="T54" s="36" t="n"/>
      <c r="U54" s="36" t="n"/>
      <c r="V54" s="36" t="n"/>
      <c r="W54" s="39" t="n"/>
      <c r="X54" s="39" t="n"/>
      <c r="Y54" s="39" t="n"/>
      <c r="Z54" s="40" t="n"/>
      <c r="AA54" s="40" t="n"/>
      <c r="AB54" s="36" t="n"/>
      <c r="AC54" s="39" t="n"/>
      <c r="AD54" s="39" t="n"/>
      <c r="AE54" s="38" t="n"/>
      <c r="AF54" s="36" t="n"/>
      <c r="AG54" s="36" t="n"/>
      <c r="AH54" s="36" t="n"/>
      <c r="AI54" s="36" t="n"/>
      <c r="AJ54" s="36" t="n"/>
      <c r="AK54" s="36" t="n"/>
      <c r="AL54" s="36" t="n"/>
      <c r="AM54" s="35">
        <f>IF(NOT(COUNTA(A54:AL54)&gt;0),"",IF(TEXTJOIN(", ",TRUE,IF(B54="","Название",""),IF(C54="","Тип недвижимости",""),IF(D54="","Страна",""),IF(E54="","Город",""),IF(F54="","Улица",""),IF(I54="","Валюта",""),IF(OR(AE54="",AE54&lt;1),"Хотя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земли",""),IF(OR(X54="",X54&lt;=0),"Минимальная цена продажи",""),IF(OR(Y54="",Y54&lt;=0),"Стартовая ставка",""),IF(Z54="","Начало аукциона",""),IF(AA54="","Окончание аукциона",""),IF(AND(W54&lt;&gt;"",X54&lt;&gt;"",X54&gt;W54),"Минимальная цена выше «Продать сейчас»",""),IF(AND(W54&lt;&gt;"",X54&lt;&gt;"",X54&lt;=W54,X54&gt;W54*0.9),"Минимальная цена выше 90% от «Продать сейчас»",""),IF(AND(W54&lt;&gt;"",Y54&lt;&gt;"",Y54&gt;W54*0.3),"Стартовая ставка выше 30% от «Продать сейчас»",""),IF(AND(Z54&lt;&gt;"",AA54&lt;&gt;"",AA54&lt;EDATE(Z54,3)+15),"Аукцион короче 3 месяцев и 15 дней",""),IF(AND(AB54="Да",OR(AC54="",AC54&lt;=0)),"Цена тест-драйва за сутки",""),IF(OR(AJ54="",AJ54="Нет"),"Право собственности",""),IF(OR(AK54="",AK54="Нет"),"Справка об отсутствии обременений",""))="","",TEXTJOIN(", ",TRUE,IF(B54="","Название",""),IF(C54="","Тип недвижимости",""),IF(D54="","Страна",""),IF(E54="","Город",""),IF(F54="","Улица",""),IF(I54="","Валюта",""),IF(OR(AE54="",AE54&lt;1),"Хотя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земли",""),IF(OR(X54="",X54&lt;=0),"Минимальная цена продажи",""),IF(OR(Y54="",Y54&lt;=0),"Стартовая ставка",""),IF(Z54="","Начало аукциона",""),IF(AA54="","Окончание аукциона",""),IF(AND(W54&lt;&gt;"",X54&lt;&gt;"",X54&gt;W54),"Минимальная цена выше «Продать сейчас»",""),IF(AND(W54&lt;&gt;"",X54&lt;&gt;"",X54&lt;=W54,X54&gt;W54*0.9),"Минимальная цена выше 90% от «Продать сейчас»",""),IF(AND(W54&lt;&gt;"",Y54&lt;&gt;"",Y54&gt;W54*0.3),"Стартовая ставка выше 30% от «Продать сейчас»",""),IF(AND(Z54&lt;&gt;"",AA54&lt;&gt;"",AA54&lt;EDATE(Z54,3)+15),"Аукцион короче 3 месяцев и 15 дней",""),IF(AND(AB54="Да",OR(AC54="",AC54&lt;=0)),"Цена тест-драйва за сутки",""),IF(OR(AJ54="",AJ54="Нет"),"Право собственности",""),IF(OR(AK54="",AK54="Нет"),"Справка об отсутствии обременений",""))))</f>
        <v/>
      </c>
      <c r="AN54" s="35">
        <f>IF(NOT(COUNTA(A54:AL54)&gt;0),"",IF(TEXTJOIN(", ",TRUE,IF(AH54="","Описание",""),IF(AND(AE54&lt;&gt;"",AE54&gt;=1,AE54&lt;5),"Фото меньше 5",""),IF(AG54="","Видео",""),IF(H54="","Кадастровый номер",""),IF(AF54="","Ссылка на фото",""))="","",TEXTJOIN(", ",TRUE,IF(AH54="","Описание",""),IF(AND(AE54&lt;&gt;"",AE54&gt;=1,AE54&lt;5),"Фото меньше 5",""),IF(AG54="","Видео",""),IF(H54="","Кадастровый номер",""),IF(AF54="","Ссылка на фото",""))))</f>
        <v/>
      </c>
      <c r="AO54" s="35">
        <f>IF(NOT(COUNTA(A54:AL54)&gt;0),"",IF(AM54="","Можно публиковать","Не хватает"))</f>
        <v/>
      </c>
    </row>
    <row r="55" ht="22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 t="n"/>
      <c r="K55" s="31" t="n"/>
      <c r="L55" s="31" t="n"/>
      <c r="M55" s="32" t="n"/>
      <c r="N55" s="32" t="n"/>
      <c r="O55" s="32" t="n"/>
      <c r="P55" s="32" t="n"/>
      <c r="Q55" s="32" t="n"/>
      <c r="R55" s="32" t="n"/>
      <c r="S55" s="30" t="n"/>
      <c r="T55" s="30" t="n"/>
      <c r="U55" s="30" t="n"/>
      <c r="V55" s="30" t="n"/>
      <c r="W55" s="33" t="n"/>
      <c r="X55" s="33" t="n"/>
      <c r="Y55" s="33" t="n"/>
      <c r="Z55" s="34" t="n"/>
      <c r="AA55" s="34" t="n"/>
      <c r="AB55" s="30" t="n"/>
      <c r="AC55" s="33" t="n"/>
      <c r="AD55" s="33" t="n"/>
      <c r="AE55" s="32" t="n"/>
      <c r="AF55" s="30" t="n"/>
      <c r="AG55" s="30" t="n"/>
      <c r="AH55" s="30" t="n"/>
      <c r="AI55" s="30" t="n"/>
      <c r="AJ55" s="30" t="n"/>
      <c r="AK55" s="30" t="n"/>
      <c r="AL55" s="30" t="n"/>
      <c r="AM55" s="35">
        <f>IF(NOT(COUNTA(A55:AL55)&gt;0),"",IF(TEXTJOIN(", ",TRUE,IF(B55="","Название",""),IF(C55="","Тип недвижимости",""),IF(D55="","Страна",""),IF(E55="","Город",""),IF(F55="","Улица",""),IF(I55="","Валюта",""),IF(OR(AE55="",AE55&lt;1),"Хотя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земли",""),IF(OR(X55="",X55&lt;=0),"Минимальная цена продажи",""),IF(OR(Y55="",Y55&lt;=0),"Стартовая ставка",""),IF(Z55="","Начало аукциона",""),IF(AA55="","Окончание аукциона",""),IF(AND(W55&lt;&gt;"",X55&lt;&gt;"",X55&gt;W55),"Минимальная цена выше «Продать сейчас»",""),IF(AND(W55&lt;&gt;"",X55&lt;&gt;"",X55&lt;=W55,X55&gt;W55*0.9),"Минимальная цена выше 90% от «Продать сейчас»",""),IF(AND(W55&lt;&gt;"",Y55&lt;&gt;"",Y55&gt;W55*0.3),"Стартовая ставка выше 30% от «Продать сейчас»",""),IF(AND(Z55&lt;&gt;"",AA55&lt;&gt;"",AA55&lt;EDATE(Z55,3)+15),"Аукцион короче 3 месяцев и 15 дней",""),IF(AND(AB55="Да",OR(AC55="",AC55&lt;=0)),"Цена тест-драйва за сутки",""),IF(OR(AJ55="",AJ55="Нет"),"Право собственности",""),IF(OR(AK55="",AK55="Нет"),"Справка об отсутствии обременений",""))="","",TEXTJOIN(", ",TRUE,IF(B55="","Название",""),IF(C55="","Тип недвижимости",""),IF(D55="","Страна",""),IF(E55="","Город",""),IF(F55="","Улица",""),IF(I55="","Валюта",""),IF(OR(AE55="",AE55&lt;1),"Хотя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земли",""),IF(OR(X55="",X55&lt;=0),"Минимальная цена продажи",""),IF(OR(Y55="",Y55&lt;=0),"Стартовая ставка",""),IF(Z55="","Начало аукциона",""),IF(AA55="","Окончание аукциона",""),IF(AND(W55&lt;&gt;"",X55&lt;&gt;"",X55&gt;W55),"Минимальная цена выше «Продать сейчас»",""),IF(AND(W55&lt;&gt;"",X55&lt;&gt;"",X55&lt;=W55,X55&gt;W55*0.9),"Минимальная цена выше 90% от «Продать сейчас»",""),IF(AND(W55&lt;&gt;"",Y55&lt;&gt;"",Y55&gt;W55*0.3),"Стартовая ставка выше 30% от «Продать сейчас»",""),IF(AND(Z55&lt;&gt;"",AA55&lt;&gt;"",AA55&lt;EDATE(Z55,3)+15),"Аукцион короче 3 месяцев и 15 дней",""),IF(AND(AB55="Да",OR(AC55="",AC55&lt;=0)),"Цена тест-драйва за сутки",""),IF(OR(AJ55="",AJ55="Нет"),"Право собственности",""),IF(OR(AK55="",AK55="Нет"),"Справка об отсутствии обременений",""))))</f>
        <v/>
      </c>
      <c r="AN55" s="35">
        <f>IF(NOT(COUNTA(A55:AL55)&gt;0),"",IF(TEXTJOIN(", ",TRUE,IF(AH55="","Описание",""),IF(AND(AE55&lt;&gt;"",AE55&gt;=1,AE55&lt;5),"Фото меньше 5",""),IF(AG55="","Видео",""),IF(H55="","Кадастровый номер",""),IF(AF55="","Ссылка на фото",""))="","",TEXTJOIN(", ",TRUE,IF(AH55="","Описание",""),IF(AND(AE55&lt;&gt;"",AE55&gt;=1,AE55&lt;5),"Фото меньше 5",""),IF(AG55="","Видео",""),IF(H55="","Кадастровый номер",""),IF(AF55="","Ссылка на фото",""))))</f>
        <v/>
      </c>
      <c r="AO55" s="35">
        <f>IF(NOT(COUNTA(A55:AL55)&gt;0),"",IF(AM55="","Можно публиковать","Не хватает"))</f>
        <v/>
      </c>
    </row>
    <row r="56" ht="22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7" t="n"/>
      <c r="K56" s="37" t="n"/>
      <c r="L56" s="37" t="n"/>
      <c r="M56" s="38" t="n"/>
      <c r="N56" s="38" t="n"/>
      <c r="O56" s="38" t="n"/>
      <c r="P56" s="38" t="n"/>
      <c r="Q56" s="38" t="n"/>
      <c r="R56" s="38" t="n"/>
      <c r="S56" s="36" t="n"/>
      <c r="T56" s="36" t="n"/>
      <c r="U56" s="36" t="n"/>
      <c r="V56" s="36" t="n"/>
      <c r="W56" s="39" t="n"/>
      <c r="X56" s="39" t="n"/>
      <c r="Y56" s="39" t="n"/>
      <c r="Z56" s="40" t="n"/>
      <c r="AA56" s="40" t="n"/>
      <c r="AB56" s="36" t="n"/>
      <c r="AC56" s="39" t="n"/>
      <c r="AD56" s="39" t="n"/>
      <c r="AE56" s="38" t="n"/>
      <c r="AF56" s="36" t="n"/>
      <c r="AG56" s="36" t="n"/>
      <c r="AH56" s="36" t="n"/>
      <c r="AI56" s="36" t="n"/>
      <c r="AJ56" s="36" t="n"/>
      <c r="AK56" s="36" t="n"/>
      <c r="AL56" s="36" t="n"/>
      <c r="AM56" s="35">
        <f>IF(NOT(COUNTA(A56:AL56)&gt;0),"",IF(TEXTJOIN(", ",TRUE,IF(B56="","Название",""),IF(C56="","Тип недвижимости",""),IF(D56="","Страна",""),IF(E56="","Город",""),IF(F56="","Улица",""),IF(I56="","Валюта",""),IF(OR(AE56="",AE56&lt;1),"Хотя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земли",""),IF(OR(X56="",X56&lt;=0),"Минимальная цена продажи",""),IF(OR(Y56="",Y56&lt;=0),"Стартовая ставка",""),IF(Z56="","Начало аукциона",""),IF(AA56="","Окончание аукциона",""),IF(AND(W56&lt;&gt;"",X56&lt;&gt;"",X56&gt;W56),"Минимальная цена выше «Продать сейчас»",""),IF(AND(W56&lt;&gt;"",X56&lt;&gt;"",X56&lt;=W56,X56&gt;W56*0.9),"Минимальная цена выше 90% от «Продать сейчас»",""),IF(AND(W56&lt;&gt;"",Y56&lt;&gt;"",Y56&gt;W56*0.3),"Стартовая ставка выше 30% от «Продать сейчас»",""),IF(AND(Z56&lt;&gt;"",AA56&lt;&gt;"",AA56&lt;EDATE(Z56,3)+15),"Аукцион короче 3 месяцев и 15 дней",""),IF(AND(AB56="Да",OR(AC56="",AC56&lt;=0)),"Цена тест-драйва за сутки",""),IF(OR(AJ56="",AJ56="Нет"),"Право собственности",""),IF(OR(AK56="",AK56="Нет"),"Справка об отсутствии обременений",""))="","",TEXTJOIN(", ",TRUE,IF(B56="","Название",""),IF(C56="","Тип недвижимости",""),IF(D56="","Страна",""),IF(E56="","Город",""),IF(F56="","Улица",""),IF(I56="","Валюта",""),IF(OR(AE56="",AE56&lt;1),"Хотя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земли",""),IF(OR(X56="",X56&lt;=0),"Минимальная цена продажи",""),IF(OR(Y56="",Y56&lt;=0),"Стартовая ставка",""),IF(Z56="","Начало аукциона",""),IF(AA56="","Окончание аукциона",""),IF(AND(W56&lt;&gt;"",X56&lt;&gt;"",X56&gt;W56),"Минимальная цена выше «Продать сейчас»",""),IF(AND(W56&lt;&gt;"",X56&lt;&gt;"",X56&lt;=W56,X56&gt;W56*0.9),"Минимальная цена выше 90% от «Продать сейчас»",""),IF(AND(W56&lt;&gt;"",Y56&lt;&gt;"",Y56&gt;W56*0.3),"Стартовая ставка выше 30% от «Продать сейчас»",""),IF(AND(Z56&lt;&gt;"",AA56&lt;&gt;"",AA56&lt;EDATE(Z56,3)+15),"Аукцион короче 3 месяцев и 15 дней",""),IF(AND(AB56="Да",OR(AC56="",AC56&lt;=0)),"Цена тест-драйва за сутки",""),IF(OR(AJ56="",AJ56="Нет"),"Право собственности",""),IF(OR(AK56="",AK56="Нет"),"Справка об отсутствии обременений",""))))</f>
        <v/>
      </c>
      <c r="AN56" s="35">
        <f>IF(NOT(COUNTA(A56:AL56)&gt;0),"",IF(TEXTJOIN(", ",TRUE,IF(AH56="","Описание",""),IF(AND(AE56&lt;&gt;"",AE56&gt;=1,AE56&lt;5),"Фото меньше 5",""),IF(AG56="","Видео",""),IF(H56="","Кадастровый номер",""),IF(AF56="","Ссылка на фото",""))="","",TEXTJOIN(", ",TRUE,IF(AH56="","Описание",""),IF(AND(AE56&lt;&gt;"",AE56&gt;=1,AE56&lt;5),"Фото меньше 5",""),IF(AG56="","Видео",""),IF(H56="","Кадастровый номер",""),IF(AF56="","Ссылка на фото",""))))</f>
        <v/>
      </c>
      <c r="AO56" s="35">
        <f>IF(NOT(COUNTA(A56:AL56)&gt;0),"",IF(AM56="","Можно публиковать","Не хватает"))</f>
        <v/>
      </c>
    </row>
    <row r="57" ht="22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  <c r="K57" s="31" t="n"/>
      <c r="L57" s="31" t="n"/>
      <c r="M57" s="32" t="n"/>
      <c r="N57" s="32" t="n"/>
      <c r="O57" s="32" t="n"/>
      <c r="P57" s="32" t="n"/>
      <c r="Q57" s="32" t="n"/>
      <c r="R57" s="32" t="n"/>
      <c r="S57" s="30" t="n"/>
      <c r="T57" s="30" t="n"/>
      <c r="U57" s="30" t="n"/>
      <c r="V57" s="30" t="n"/>
      <c r="W57" s="33" t="n"/>
      <c r="X57" s="33" t="n"/>
      <c r="Y57" s="33" t="n"/>
      <c r="Z57" s="34" t="n"/>
      <c r="AA57" s="34" t="n"/>
      <c r="AB57" s="30" t="n"/>
      <c r="AC57" s="33" t="n"/>
      <c r="AD57" s="33" t="n"/>
      <c r="AE57" s="32" t="n"/>
      <c r="AF57" s="30" t="n"/>
      <c r="AG57" s="30" t="n"/>
      <c r="AH57" s="30" t="n"/>
      <c r="AI57" s="30" t="n"/>
      <c r="AJ57" s="30" t="n"/>
      <c r="AK57" s="30" t="n"/>
      <c r="AL57" s="30" t="n"/>
      <c r="AM57" s="35">
        <f>IF(NOT(COUNTA(A57:AL57)&gt;0),"",IF(TEXTJOIN(", ",TRUE,IF(B57="","Название",""),IF(C57="","Тип недвижимости",""),IF(D57="","Страна",""),IF(E57="","Город",""),IF(F57="","Улица",""),IF(I57="","Валюта",""),IF(OR(AE57="",AE57&lt;1),"Хотя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земли",""),IF(OR(X57="",X57&lt;=0),"Минимальная цена продажи",""),IF(OR(Y57="",Y57&lt;=0),"Стартовая ставка",""),IF(Z57="","Начало аукциона",""),IF(AA57="","Окончание аукциона",""),IF(AND(W57&lt;&gt;"",X57&lt;&gt;"",X57&gt;W57),"Минимальная цена выше «Продать сейчас»",""),IF(AND(W57&lt;&gt;"",X57&lt;&gt;"",X57&lt;=W57,X57&gt;W57*0.9),"Минимальная цена выше 90% от «Продать сейчас»",""),IF(AND(W57&lt;&gt;"",Y57&lt;&gt;"",Y57&gt;W57*0.3),"Стартовая ставка выше 30% от «Продать сейчас»",""),IF(AND(Z57&lt;&gt;"",AA57&lt;&gt;"",AA57&lt;EDATE(Z57,3)+15),"Аукцион короче 3 месяцев и 15 дней",""),IF(AND(AB57="Да",OR(AC57="",AC57&lt;=0)),"Цена тест-драйва за сутки",""),IF(OR(AJ57="",AJ57="Нет"),"Право собственности",""),IF(OR(AK57="",AK57="Нет"),"Справка об отсутствии обременений",""))="","",TEXTJOIN(", ",TRUE,IF(B57="","Название",""),IF(C57="","Тип недвижимости",""),IF(D57="","Страна",""),IF(E57="","Город",""),IF(F57="","Улица",""),IF(I57="","Валюта",""),IF(OR(AE57="",AE57&lt;1),"Хотя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земли",""),IF(OR(X57="",X57&lt;=0),"Минимальная цена продажи",""),IF(OR(Y57="",Y57&lt;=0),"Стартовая ставка",""),IF(Z57="","Начало аукциона",""),IF(AA57="","Окончание аукциона",""),IF(AND(W57&lt;&gt;"",X57&lt;&gt;"",X57&gt;W57),"Минимальная цена выше «Продать сейчас»",""),IF(AND(W57&lt;&gt;"",X57&lt;&gt;"",X57&lt;=W57,X57&gt;W57*0.9),"Минимальная цена выше 90% от «Продать сейчас»",""),IF(AND(W57&lt;&gt;"",Y57&lt;&gt;"",Y57&gt;W57*0.3),"Стартовая ставка выше 30% от «Продать сейчас»",""),IF(AND(Z57&lt;&gt;"",AA57&lt;&gt;"",AA57&lt;EDATE(Z57,3)+15),"Аукцион короче 3 месяцев и 15 дней",""),IF(AND(AB57="Да",OR(AC57="",AC57&lt;=0)),"Цена тест-драйва за сутки",""),IF(OR(AJ57="",AJ57="Нет"),"Право собственности",""),IF(OR(AK57="",AK57="Нет"),"Справка об отсутствии обременений",""))))</f>
        <v/>
      </c>
      <c r="AN57" s="35">
        <f>IF(NOT(COUNTA(A57:AL57)&gt;0),"",IF(TEXTJOIN(", ",TRUE,IF(AH57="","Описание",""),IF(AND(AE57&lt;&gt;"",AE57&gt;=1,AE57&lt;5),"Фото меньше 5",""),IF(AG57="","Видео",""),IF(H57="","Кадастровый номер",""),IF(AF57="","Ссылка на фото",""))="","",TEXTJOIN(", ",TRUE,IF(AH57="","Описание",""),IF(AND(AE57&lt;&gt;"",AE57&gt;=1,AE57&lt;5),"Фото меньше 5",""),IF(AG57="","Видео",""),IF(H57="","Кадастровый номер",""),IF(AF57="","Ссылка на фото",""))))</f>
        <v/>
      </c>
      <c r="AO57" s="35">
        <f>IF(NOT(COUNTA(A57:AL57)&gt;0),"",IF(AM57="","Можно публиковать","Не хватает"))</f>
        <v/>
      </c>
    </row>
    <row r="58" ht="22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7" t="n"/>
      <c r="K58" s="37" t="n"/>
      <c r="L58" s="37" t="n"/>
      <c r="M58" s="38" t="n"/>
      <c r="N58" s="38" t="n"/>
      <c r="O58" s="38" t="n"/>
      <c r="P58" s="38" t="n"/>
      <c r="Q58" s="38" t="n"/>
      <c r="R58" s="38" t="n"/>
      <c r="S58" s="36" t="n"/>
      <c r="T58" s="36" t="n"/>
      <c r="U58" s="36" t="n"/>
      <c r="V58" s="36" t="n"/>
      <c r="W58" s="39" t="n"/>
      <c r="X58" s="39" t="n"/>
      <c r="Y58" s="39" t="n"/>
      <c r="Z58" s="40" t="n"/>
      <c r="AA58" s="40" t="n"/>
      <c r="AB58" s="36" t="n"/>
      <c r="AC58" s="39" t="n"/>
      <c r="AD58" s="39" t="n"/>
      <c r="AE58" s="38" t="n"/>
      <c r="AF58" s="36" t="n"/>
      <c r="AG58" s="36" t="n"/>
      <c r="AH58" s="36" t="n"/>
      <c r="AI58" s="36" t="n"/>
      <c r="AJ58" s="36" t="n"/>
      <c r="AK58" s="36" t="n"/>
      <c r="AL58" s="36" t="n"/>
      <c r="AM58" s="35">
        <f>IF(NOT(COUNTA(A58:AL58)&gt;0),"",IF(TEXTJOIN(", ",TRUE,IF(B58="","Название",""),IF(C58="","Тип недвижимости",""),IF(D58="","Страна",""),IF(E58="","Город",""),IF(F58="","Улица",""),IF(I58="","Валюта",""),IF(OR(AE58="",AE58&lt;1),"Хотя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земли",""),IF(OR(X58="",X58&lt;=0),"Минимальная цена продажи",""),IF(OR(Y58="",Y58&lt;=0),"Стартовая ставка",""),IF(Z58="","Начало аукциона",""),IF(AA58="","Окончание аукциона",""),IF(AND(W58&lt;&gt;"",X58&lt;&gt;"",X58&gt;W58),"Минимальная цена выше «Продать сейчас»",""),IF(AND(W58&lt;&gt;"",X58&lt;&gt;"",X58&lt;=W58,X58&gt;W58*0.9),"Минимальная цена выше 90% от «Продать сейчас»",""),IF(AND(W58&lt;&gt;"",Y58&lt;&gt;"",Y58&gt;W58*0.3),"Стартовая ставка выше 30% от «Продать сейчас»",""),IF(AND(Z58&lt;&gt;"",AA58&lt;&gt;"",AA58&lt;EDATE(Z58,3)+15),"Аукцион короче 3 месяцев и 15 дней",""),IF(AND(AB58="Да",OR(AC58="",AC58&lt;=0)),"Цена тест-драйва за сутки",""),IF(OR(AJ58="",AJ58="Нет"),"Право собственности",""),IF(OR(AK58="",AK58="Нет"),"Справка об отсутствии обременений",""))="","",TEXTJOIN(", ",TRUE,IF(B58="","Название",""),IF(C58="","Тип недвижимости",""),IF(D58="","Страна",""),IF(E58="","Город",""),IF(F58="","Улица",""),IF(I58="","Валюта",""),IF(OR(AE58="",AE58&lt;1),"Хотя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земли",""),IF(OR(X58="",X58&lt;=0),"Минимальная цена продажи",""),IF(OR(Y58="",Y58&lt;=0),"Стартовая ставка",""),IF(Z58="","Начало аукциона",""),IF(AA58="","Окончание аукциона",""),IF(AND(W58&lt;&gt;"",X58&lt;&gt;"",X58&gt;W58),"Минимальная цена выше «Продать сейчас»",""),IF(AND(W58&lt;&gt;"",X58&lt;&gt;"",X58&lt;=W58,X58&gt;W58*0.9),"Минимальная цена выше 90% от «Продать сейчас»",""),IF(AND(W58&lt;&gt;"",Y58&lt;&gt;"",Y58&gt;W58*0.3),"Стартовая ставка выше 30% от «Продать сейчас»",""),IF(AND(Z58&lt;&gt;"",AA58&lt;&gt;"",AA58&lt;EDATE(Z58,3)+15),"Аукцион короче 3 месяцев и 15 дней",""),IF(AND(AB58="Да",OR(AC58="",AC58&lt;=0)),"Цена тест-драйва за сутки",""),IF(OR(AJ58="",AJ58="Нет"),"Право собственности",""),IF(OR(AK58="",AK58="Нет"),"Справка об отсутствии обременений",""))))</f>
        <v/>
      </c>
      <c r="AN58" s="35">
        <f>IF(NOT(COUNTA(A58:AL58)&gt;0),"",IF(TEXTJOIN(", ",TRUE,IF(AH58="","Описание",""),IF(AND(AE58&lt;&gt;"",AE58&gt;=1,AE58&lt;5),"Фото меньше 5",""),IF(AG58="","Видео",""),IF(H58="","Кадастровый номер",""),IF(AF58="","Ссылка на фото",""))="","",TEXTJOIN(", ",TRUE,IF(AH58="","Описание",""),IF(AND(AE58&lt;&gt;"",AE58&gt;=1,AE58&lt;5),"Фото меньше 5",""),IF(AG58="","Видео",""),IF(H58="","Кадастровый номер",""),IF(AF58="","Ссылка на фото",""))))</f>
        <v/>
      </c>
      <c r="AO58" s="35">
        <f>IF(NOT(COUNTA(A58:AL58)&gt;0),"",IF(AM58="","Можно публиковать","Не хватает"))</f>
        <v/>
      </c>
    </row>
    <row r="59" ht="22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  <c r="K59" s="31" t="n"/>
      <c r="L59" s="31" t="n"/>
      <c r="M59" s="32" t="n"/>
      <c r="N59" s="32" t="n"/>
      <c r="O59" s="32" t="n"/>
      <c r="P59" s="32" t="n"/>
      <c r="Q59" s="32" t="n"/>
      <c r="R59" s="32" t="n"/>
      <c r="S59" s="30" t="n"/>
      <c r="T59" s="30" t="n"/>
      <c r="U59" s="30" t="n"/>
      <c r="V59" s="30" t="n"/>
      <c r="W59" s="33" t="n"/>
      <c r="X59" s="33" t="n"/>
      <c r="Y59" s="33" t="n"/>
      <c r="Z59" s="34" t="n"/>
      <c r="AA59" s="34" t="n"/>
      <c r="AB59" s="30" t="n"/>
      <c r="AC59" s="33" t="n"/>
      <c r="AD59" s="33" t="n"/>
      <c r="AE59" s="32" t="n"/>
      <c r="AF59" s="30" t="n"/>
      <c r="AG59" s="30" t="n"/>
      <c r="AH59" s="30" t="n"/>
      <c r="AI59" s="30" t="n"/>
      <c r="AJ59" s="30" t="n"/>
      <c r="AK59" s="30" t="n"/>
      <c r="AL59" s="30" t="n"/>
      <c r="AM59" s="35">
        <f>IF(NOT(COUNTA(A59:AL59)&gt;0),"",IF(TEXTJOIN(", ",TRUE,IF(B59="","Название",""),IF(C59="","Тип недвижимости",""),IF(D59="","Страна",""),IF(E59="","Город",""),IF(F59="","Улица",""),IF(I59="","Валюта",""),IF(OR(AE59="",AE59&lt;1),"Хотя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земли",""),IF(OR(X59="",X59&lt;=0),"Минимальная цена продажи",""),IF(OR(Y59="",Y59&lt;=0),"Стартовая ставка",""),IF(Z59="","Начало аукциона",""),IF(AA59="","Окончание аукциона",""),IF(AND(W59&lt;&gt;"",X59&lt;&gt;"",X59&gt;W59),"Минимальная цена выше «Продать сейчас»",""),IF(AND(W59&lt;&gt;"",X59&lt;&gt;"",X59&lt;=W59,X59&gt;W59*0.9),"Минимальная цена выше 90% от «Продать сейчас»",""),IF(AND(W59&lt;&gt;"",Y59&lt;&gt;"",Y59&gt;W59*0.3),"Стартовая ставка выше 30% от «Продать сейчас»",""),IF(AND(Z59&lt;&gt;"",AA59&lt;&gt;"",AA59&lt;EDATE(Z59,3)+15),"Аукцион короче 3 месяцев и 15 дней",""),IF(AND(AB59="Да",OR(AC59="",AC59&lt;=0)),"Цена тест-драйва за сутки",""),IF(OR(AJ59="",AJ59="Нет"),"Право собственности",""),IF(OR(AK59="",AK59="Нет"),"Справка об отсутствии обременений",""))="","",TEXTJOIN(", ",TRUE,IF(B59="","Название",""),IF(C59="","Тип недвижимости",""),IF(D59="","Страна",""),IF(E59="","Город",""),IF(F59="","Улица",""),IF(I59="","Валюта",""),IF(OR(AE59="",AE59&lt;1),"Хотя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земли",""),IF(OR(X59="",X59&lt;=0),"Минимальная цена продажи",""),IF(OR(Y59="",Y59&lt;=0),"Стартовая ставка",""),IF(Z59="","Начало аукциона",""),IF(AA59="","Окончание аукциона",""),IF(AND(W59&lt;&gt;"",X59&lt;&gt;"",X59&gt;W59),"Минимальная цена выше «Продать сейчас»",""),IF(AND(W59&lt;&gt;"",X59&lt;&gt;"",X59&lt;=W59,X59&gt;W59*0.9),"Минимальная цена выше 90% от «Продать сейчас»",""),IF(AND(W59&lt;&gt;"",Y59&lt;&gt;"",Y59&gt;W59*0.3),"Стартовая ставка выше 30% от «Продать сейчас»",""),IF(AND(Z59&lt;&gt;"",AA59&lt;&gt;"",AA59&lt;EDATE(Z59,3)+15),"Аукцион короче 3 месяцев и 15 дней",""),IF(AND(AB59="Да",OR(AC59="",AC59&lt;=0)),"Цена тест-драйва за сутки",""),IF(OR(AJ59="",AJ59="Нет"),"Право собственности",""),IF(OR(AK59="",AK59="Нет"),"Справка об отсутствии обременений",""))))</f>
        <v/>
      </c>
      <c r="AN59" s="35">
        <f>IF(NOT(COUNTA(A59:AL59)&gt;0),"",IF(TEXTJOIN(", ",TRUE,IF(AH59="","Описание",""),IF(AND(AE59&lt;&gt;"",AE59&gt;=1,AE59&lt;5),"Фото меньше 5",""),IF(AG59="","Видео",""),IF(H59="","Кадастровый номер",""),IF(AF59="","Ссылка на фото",""))="","",TEXTJOIN(", ",TRUE,IF(AH59="","Описание",""),IF(AND(AE59&lt;&gt;"",AE59&gt;=1,AE59&lt;5),"Фото меньше 5",""),IF(AG59="","Видео",""),IF(H59="","Кадастровый номер",""),IF(AF59="","Ссылка на фото",""))))</f>
        <v/>
      </c>
      <c r="AO59" s="35">
        <f>IF(NOT(COUNTA(A59:AL59)&gt;0),"",IF(AM59="","Можно публиковать","Не хватает"))</f>
        <v/>
      </c>
    </row>
    <row r="60" ht="22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7" t="n"/>
      <c r="K60" s="37" t="n"/>
      <c r="L60" s="37" t="n"/>
      <c r="M60" s="38" t="n"/>
      <c r="N60" s="38" t="n"/>
      <c r="O60" s="38" t="n"/>
      <c r="P60" s="38" t="n"/>
      <c r="Q60" s="38" t="n"/>
      <c r="R60" s="38" t="n"/>
      <c r="S60" s="36" t="n"/>
      <c r="T60" s="36" t="n"/>
      <c r="U60" s="36" t="n"/>
      <c r="V60" s="36" t="n"/>
      <c r="W60" s="39" t="n"/>
      <c r="X60" s="39" t="n"/>
      <c r="Y60" s="39" t="n"/>
      <c r="Z60" s="40" t="n"/>
      <c r="AA60" s="40" t="n"/>
      <c r="AB60" s="36" t="n"/>
      <c r="AC60" s="39" t="n"/>
      <c r="AD60" s="39" t="n"/>
      <c r="AE60" s="38" t="n"/>
      <c r="AF60" s="36" t="n"/>
      <c r="AG60" s="36" t="n"/>
      <c r="AH60" s="36" t="n"/>
      <c r="AI60" s="36" t="n"/>
      <c r="AJ60" s="36" t="n"/>
      <c r="AK60" s="36" t="n"/>
      <c r="AL60" s="36" t="n"/>
      <c r="AM60" s="35">
        <f>IF(NOT(COUNTA(A60:AL60)&gt;0),"",IF(TEXTJOIN(", ",TRUE,IF(B60="","Название",""),IF(C60="","Тип недвижимости",""),IF(D60="","Страна",""),IF(E60="","Город",""),IF(F60="","Улица",""),IF(I60="","Валюта",""),IF(OR(AE60="",AE60&lt;1),"Хотя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земли",""),IF(OR(X60="",X60&lt;=0),"Минимальная цена продажи",""),IF(OR(Y60="",Y60&lt;=0),"Стартовая ставка",""),IF(Z60="","Начало аукциона",""),IF(AA60="","Окончание аукциона",""),IF(AND(W60&lt;&gt;"",X60&lt;&gt;"",X60&gt;W60),"Минимальная цена выше «Продать сейчас»",""),IF(AND(W60&lt;&gt;"",X60&lt;&gt;"",X60&lt;=W60,X60&gt;W60*0.9),"Минимальная цена выше 90% от «Продать сейчас»",""),IF(AND(W60&lt;&gt;"",Y60&lt;&gt;"",Y60&gt;W60*0.3),"Стартовая ставка выше 30% от «Продать сейчас»",""),IF(AND(Z60&lt;&gt;"",AA60&lt;&gt;"",AA60&lt;EDATE(Z60,3)+15),"Аукцион короче 3 месяцев и 15 дней",""),IF(AND(AB60="Да",OR(AC60="",AC60&lt;=0)),"Цена тест-драйва за сутки",""),IF(OR(AJ60="",AJ60="Нет"),"Право собственности",""),IF(OR(AK60="",AK60="Нет"),"Справка об отсутствии обременений",""))="","",TEXTJOIN(", ",TRUE,IF(B60="","Название",""),IF(C60="","Тип недвижимости",""),IF(D60="","Страна",""),IF(E60="","Город",""),IF(F60="","Улица",""),IF(I60="","Валюта",""),IF(OR(AE60="",AE60&lt;1),"Хотя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земли",""),IF(OR(X60="",X60&lt;=0),"Минимальная цена продажи",""),IF(OR(Y60="",Y60&lt;=0),"Стартовая ставка",""),IF(Z60="","Начало аукциона",""),IF(AA60="","Окончание аукциона",""),IF(AND(W60&lt;&gt;"",X60&lt;&gt;"",X60&gt;W60),"Минимальная цена выше «Продать сейчас»",""),IF(AND(W60&lt;&gt;"",X60&lt;&gt;"",X60&lt;=W60,X60&gt;W60*0.9),"Минимальная цена выше 90% от «Продать сейчас»",""),IF(AND(W60&lt;&gt;"",Y60&lt;&gt;"",Y60&gt;W60*0.3),"Стартовая ставка выше 30% от «Продать сейчас»",""),IF(AND(Z60&lt;&gt;"",AA60&lt;&gt;"",AA60&lt;EDATE(Z60,3)+15),"Аукцион короче 3 месяцев и 15 дней",""),IF(AND(AB60="Да",OR(AC60="",AC60&lt;=0)),"Цена тест-драйва за сутки",""),IF(OR(AJ60="",AJ60="Нет"),"Право собственности",""),IF(OR(AK60="",AK60="Нет"),"Справка об отсутствии обременений",""))))</f>
        <v/>
      </c>
      <c r="AN60" s="35">
        <f>IF(NOT(COUNTA(A60:AL60)&gt;0),"",IF(TEXTJOIN(", ",TRUE,IF(AH60="","Описание",""),IF(AND(AE60&lt;&gt;"",AE60&gt;=1,AE60&lt;5),"Фото меньше 5",""),IF(AG60="","Видео",""),IF(H60="","Кадастровый номер",""),IF(AF60="","Ссылка на фото",""))="","",TEXTJOIN(", ",TRUE,IF(AH60="","Описание",""),IF(AND(AE60&lt;&gt;"",AE60&gt;=1,AE60&lt;5),"Фото меньше 5",""),IF(AG60="","Видео",""),IF(H60="","Кадастровый номер",""),IF(AF60="","Ссылка на фото",""))))</f>
        <v/>
      </c>
      <c r="AO60" s="35">
        <f>IF(NOT(COUNTA(A60:AL60)&gt;0),"",IF(AM60="","Можно публиковать","Не хватает"))</f>
        <v/>
      </c>
    </row>
    <row r="61" ht="22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 t="n"/>
      <c r="K61" s="31" t="n"/>
      <c r="L61" s="31" t="n"/>
      <c r="M61" s="32" t="n"/>
      <c r="N61" s="32" t="n"/>
      <c r="O61" s="32" t="n"/>
      <c r="P61" s="32" t="n"/>
      <c r="Q61" s="32" t="n"/>
      <c r="R61" s="32" t="n"/>
      <c r="S61" s="30" t="n"/>
      <c r="T61" s="30" t="n"/>
      <c r="U61" s="30" t="n"/>
      <c r="V61" s="30" t="n"/>
      <c r="W61" s="33" t="n"/>
      <c r="X61" s="33" t="n"/>
      <c r="Y61" s="33" t="n"/>
      <c r="Z61" s="34" t="n"/>
      <c r="AA61" s="34" t="n"/>
      <c r="AB61" s="30" t="n"/>
      <c r="AC61" s="33" t="n"/>
      <c r="AD61" s="33" t="n"/>
      <c r="AE61" s="32" t="n"/>
      <c r="AF61" s="30" t="n"/>
      <c r="AG61" s="30" t="n"/>
      <c r="AH61" s="30" t="n"/>
      <c r="AI61" s="30" t="n"/>
      <c r="AJ61" s="30" t="n"/>
      <c r="AK61" s="30" t="n"/>
      <c r="AL61" s="30" t="n"/>
      <c r="AM61" s="35">
        <f>IF(NOT(COUNTA(A61:AL61)&gt;0),"",IF(TEXTJOIN(", ",TRUE,IF(B61="","Название",""),IF(C61="","Тип недвижимости",""),IF(D61="","Страна",""),IF(E61="","Город",""),IF(F61="","Улица",""),IF(I61="","Валюта",""),IF(OR(AE61="",AE61&lt;1),"Хотя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земли",""),IF(OR(X61="",X61&lt;=0),"Минимальная цена продажи",""),IF(OR(Y61="",Y61&lt;=0),"Стартовая ставка",""),IF(Z61="","Начало аукциона",""),IF(AA61="","Окончание аукциона",""),IF(AND(W61&lt;&gt;"",X61&lt;&gt;"",X61&gt;W61),"Минимальная цена выше «Продать сейчас»",""),IF(AND(W61&lt;&gt;"",X61&lt;&gt;"",X61&lt;=W61,X61&gt;W61*0.9),"Минимальная цена выше 90% от «Продать сейчас»",""),IF(AND(W61&lt;&gt;"",Y61&lt;&gt;"",Y61&gt;W61*0.3),"Стартовая ставка выше 30% от «Продать сейчас»",""),IF(AND(Z61&lt;&gt;"",AA61&lt;&gt;"",AA61&lt;EDATE(Z61,3)+15),"Аукцион короче 3 месяцев и 15 дней",""),IF(AND(AB61="Да",OR(AC61="",AC61&lt;=0)),"Цена тест-драйва за сутки",""),IF(OR(AJ61="",AJ61="Нет"),"Право собственности",""),IF(OR(AK61="",AK61="Нет"),"Справка об отсутствии обременений",""))="","",TEXTJOIN(", ",TRUE,IF(B61="","Название",""),IF(C61="","Тип недвижимости",""),IF(D61="","Страна",""),IF(E61="","Город",""),IF(F61="","Улица",""),IF(I61="","Валюта",""),IF(OR(AE61="",AE61&lt;1),"Хотя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земли",""),IF(OR(X61="",X61&lt;=0),"Минимальная цена продажи",""),IF(OR(Y61="",Y61&lt;=0),"Стартовая ставка",""),IF(Z61="","Начало аукциона",""),IF(AA61="","Окончание аукциона",""),IF(AND(W61&lt;&gt;"",X61&lt;&gt;"",X61&gt;W61),"Минимальная цена выше «Продать сейчас»",""),IF(AND(W61&lt;&gt;"",X61&lt;&gt;"",X61&lt;=W61,X61&gt;W61*0.9),"Минимальная цена выше 90% от «Продать сейчас»",""),IF(AND(W61&lt;&gt;"",Y61&lt;&gt;"",Y61&gt;W61*0.3),"Стартовая ставка выше 30% от «Продать сейчас»",""),IF(AND(Z61&lt;&gt;"",AA61&lt;&gt;"",AA61&lt;EDATE(Z61,3)+15),"Аукцион короче 3 месяцев и 15 дней",""),IF(AND(AB61="Да",OR(AC61="",AC61&lt;=0)),"Цена тест-драйва за сутки",""),IF(OR(AJ61="",AJ61="Нет"),"Право собственности",""),IF(OR(AK61="",AK61="Нет"),"Справка об отсутствии обременений",""))))</f>
        <v/>
      </c>
      <c r="AN61" s="35">
        <f>IF(NOT(COUNTA(A61:AL61)&gt;0),"",IF(TEXTJOIN(", ",TRUE,IF(AH61="","Описание",""),IF(AND(AE61&lt;&gt;"",AE61&gt;=1,AE61&lt;5),"Фото меньше 5",""),IF(AG61="","Видео",""),IF(H61="","Кадастровый номер",""),IF(AF61="","Ссылка на фото",""))="","",TEXTJOIN(", ",TRUE,IF(AH61="","Описание",""),IF(AND(AE61&lt;&gt;"",AE61&gt;=1,AE61&lt;5),"Фото меньше 5",""),IF(AG61="","Видео",""),IF(H61="","Кадастровый номер",""),IF(AF61="","Ссылка на фото",""))))</f>
        <v/>
      </c>
      <c r="AO61" s="35">
        <f>IF(NOT(COUNTA(A61:AL61)&gt;0),"",IF(AM61="","Можно публиковать","Не хватает"))</f>
        <v/>
      </c>
    </row>
    <row r="62" ht="22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7" t="n"/>
      <c r="K62" s="37" t="n"/>
      <c r="L62" s="37" t="n"/>
      <c r="M62" s="38" t="n"/>
      <c r="N62" s="38" t="n"/>
      <c r="O62" s="38" t="n"/>
      <c r="P62" s="38" t="n"/>
      <c r="Q62" s="38" t="n"/>
      <c r="R62" s="38" t="n"/>
      <c r="S62" s="36" t="n"/>
      <c r="T62" s="36" t="n"/>
      <c r="U62" s="36" t="n"/>
      <c r="V62" s="36" t="n"/>
      <c r="W62" s="39" t="n"/>
      <c r="X62" s="39" t="n"/>
      <c r="Y62" s="39" t="n"/>
      <c r="Z62" s="40" t="n"/>
      <c r="AA62" s="40" t="n"/>
      <c r="AB62" s="36" t="n"/>
      <c r="AC62" s="39" t="n"/>
      <c r="AD62" s="39" t="n"/>
      <c r="AE62" s="38" t="n"/>
      <c r="AF62" s="36" t="n"/>
      <c r="AG62" s="36" t="n"/>
      <c r="AH62" s="36" t="n"/>
      <c r="AI62" s="36" t="n"/>
      <c r="AJ62" s="36" t="n"/>
      <c r="AK62" s="36" t="n"/>
      <c r="AL62" s="36" t="n"/>
      <c r="AM62" s="35">
        <f>IF(NOT(COUNTA(A62:AL62)&gt;0),"",IF(TEXTJOIN(", ",TRUE,IF(B62="","Название",""),IF(C62="","Тип недвижимости",""),IF(D62="","Страна",""),IF(E62="","Город",""),IF(F62="","Улица",""),IF(I62="","Валюта",""),IF(OR(AE62="",AE62&lt;1),"Хотя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земли",""),IF(OR(X62="",X62&lt;=0),"Минимальная цена продажи",""),IF(OR(Y62="",Y62&lt;=0),"Стартовая ставка",""),IF(Z62="","Начало аукциона",""),IF(AA62="","Окончание аукциона",""),IF(AND(W62&lt;&gt;"",X62&lt;&gt;"",X62&gt;W62),"Минимальная цена выше «Продать сейчас»",""),IF(AND(W62&lt;&gt;"",X62&lt;&gt;"",X62&lt;=W62,X62&gt;W62*0.9),"Минимальная цена выше 90% от «Продать сейчас»",""),IF(AND(W62&lt;&gt;"",Y62&lt;&gt;"",Y62&gt;W62*0.3),"Стартовая ставка выше 30% от «Продать сейчас»",""),IF(AND(Z62&lt;&gt;"",AA62&lt;&gt;"",AA62&lt;EDATE(Z62,3)+15),"Аукцион короче 3 месяцев и 15 дней",""),IF(AND(AB62="Да",OR(AC62="",AC62&lt;=0)),"Цена тест-драйва за сутки",""),IF(OR(AJ62="",AJ62="Нет"),"Право собственности",""),IF(OR(AK62="",AK62="Нет"),"Справка об отсутствии обременений",""))="","",TEXTJOIN(", ",TRUE,IF(B62="","Название",""),IF(C62="","Тип недвижимости",""),IF(D62="","Страна",""),IF(E62="","Город",""),IF(F62="","Улица",""),IF(I62="","Валюта",""),IF(OR(AE62="",AE62&lt;1),"Хотя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земли",""),IF(OR(X62="",X62&lt;=0),"Минимальная цена продажи",""),IF(OR(Y62="",Y62&lt;=0),"Стартовая ставка",""),IF(Z62="","Начало аукциона",""),IF(AA62="","Окончание аукциона",""),IF(AND(W62&lt;&gt;"",X62&lt;&gt;"",X62&gt;W62),"Минимальная цена выше «Продать сейчас»",""),IF(AND(W62&lt;&gt;"",X62&lt;&gt;"",X62&lt;=W62,X62&gt;W62*0.9),"Минимальная цена выше 90% от «Продать сейчас»",""),IF(AND(W62&lt;&gt;"",Y62&lt;&gt;"",Y62&gt;W62*0.3),"Стартовая ставка выше 30% от «Продать сейчас»",""),IF(AND(Z62&lt;&gt;"",AA62&lt;&gt;"",AA62&lt;EDATE(Z62,3)+15),"Аукцион короче 3 месяцев и 15 дней",""),IF(AND(AB62="Да",OR(AC62="",AC62&lt;=0)),"Цена тест-драйва за сутки",""),IF(OR(AJ62="",AJ62="Нет"),"Право собственности",""),IF(OR(AK62="",AK62="Нет"),"Справка об отсутствии обременений",""))))</f>
        <v/>
      </c>
      <c r="AN62" s="35">
        <f>IF(NOT(COUNTA(A62:AL62)&gt;0),"",IF(TEXTJOIN(", ",TRUE,IF(AH62="","Описание",""),IF(AND(AE62&lt;&gt;"",AE62&gt;=1,AE62&lt;5),"Фото меньше 5",""),IF(AG62="","Видео",""),IF(H62="","Кадастровый номер",""),IF(AF62="","Ссылка на фото",""))="","",TEXTJOIN(", ",TRUE,IF(AH62="","Описание",""),IF(AND(AE62&lt;&gt;"",AE62&gt;=1,AE62&lt;5),"Фото меньше 5",""),IF(AG62="","Видео",""),IF(H62="","Кадастровый номер",""),IF(AF62="","Ссылка на фото",""))))</f>
        <v/>
      </c>
      <c r="AO62" s="35">
        <f>IF(NOT(COUNTA(A62:AL62)&gt;0),"",IF(AM62="","Можно публиковать","Не хватает"))</f>
        <v/>
      </c>
    </row>
    <row r="63" ht="22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  <c r="K63" s="31" t="n"/>
      <c r="L63" s="31" t="n"/>
      <c r="M63" s="32" t="n"/>
      <c r="N63" s="32" t="n"/>
      <c r="O63" s="32" t="n"/>
      <c r="P63" s="32" t="n"/>
      <c r="Q63" s="32" t="n"/>
      <c r="R63" s="32" t="n"/>
      <c r="S63" s="30" t="n"/>
      <c r="T63" s="30" t="n"/>
      <c r="U63" s="30" t="n"/>
      <c r="V63" s="30" t="n"/>
      <c r="W63" s="33" t="n"/>
      <c r="X63" s="33" t="n"/>
      <c r="Y63" s="33" t="n"/>
      <c r="Z63" s="34" t="n"/>
      <c r="AA63" s="34" t="n"/>
      <c r="AB63" s="30" t="n"/>
      <c r="AC63" s="33" t="n"/>
      <c r="AD63" s="33" t="n"/>
      <c r="AE63" s="32" t="n"/>
      <c r="AF63" s="30" t="n"/>
      <c r="AG63" s="30" t="n"/>
      <c r="AH63" s="30" t="n"/>
      <c r="AI63" s="30" t="n"/>
      <c r="AJ63" s="30" t="n"/>
      <c r="AK63" s="30" t="n"/>
      <c r="AL63" s="30" t="n"/>
      <c r="AM63" s="35">
        <f>IF(NOT(COUNTA(A63:AL63)&gt;0),"",IF(TEXTJOIN(", ",TRUE,IF(B63="","Название",""),IF(C63="","Тип недвижимости",""),IF(D63="","Страна",""),IF(E63="","Город",""),IF(F63="","Улица",""),IF(I63="","Валюта",""),IF(OR(AE63="",AE63&lt;1),"Хотя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земли",""),IF(OR(X63="",X63&lt;=0),"Минимальная цена продажи",""),IF(OR(Y63="",Y63&lt;=0),"Стартовая ставка",""),IF(Z63="","Начало аукциона",""),IF(AA63="","Окончание аукциона",""),IF(AND(W63&lt;&gt;"",X63&lt;&gt;"",X63&gt;W63),"Минимальная цена выше «Продать сейчас»",""),IF(AND(W63&lt;&gt;"",X63&lt;&gt;"",X63&lt;=W63,X63&gt;W63*0.9),"Минимальная цена выше 90% от «Продать сейчас»",""),IF(AND(W63&lt;&gt;"",Y63&lt;&gt;"",Y63&gt;W63*0.3),"Стартовая ставка выше 30% от «Продать сейчас»",""),IF(AND(Z63&lt;&gt;"",AA63&lt;&gt;"",AA63&lt;EDATE(Z63,3)+15),"Аукцион короче 3 месяцев и 15 дней",""),IF(AND(AB63="Да",OR(AC63="",AC63&lt;=0)),"Цена тест-драйва за сутки",""),IF(OR(AJ63="",AJ63="Нет"),"Право собственности",""),IF(OR(AK63="",AK63="Нет"),"Справка об отсутствии обременений",""))="","",TEXTJOIN(", ",TRUE,IF(B63="","Название",""),IF(C63="","Тип недвижимости",""),IF(D63="","Страна",""),IF(E63="","Город",""),IF(F63="","Улица",""),IF(I63="","Валюта",""),IF(OR(AE63="",AE63&lt;1),"Хотя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земли",""),IF(OR(X63="",X63&lt;=0),"Минимальная цена продажи",""),IF(OR(Y63="",Y63&lt;=0),"Стартовая ставка",""),IF(Z63="","Начало аукциона",""),IF(AA63="","Окончание аукциона",""),IF(AND(W63&lt;&gt;"",X63&lt;&gt;"",X63&gt;W63),"Минимальная цена выше «Продать сейчас»",""),IF(AND(W63&lt;&gt;"",X63&lt;&gt;"",X63&lt;=W63,X63&gt;W63*0.9),"Минимальная цена выше 90% от «Продать сейчас»",""),IF(AND(W63&lt;&gt;"",Y63&lt;&gt;"",Y63&gt;W63*0.3),"Стартовая ставка выше 30% от «Продать сейчас»",""),IF(AND(Z63&lt;&gt;"",AA63&lt;&gt;"",AA63&lt;EDATE(Z63,3)+15),"Аукцион короче 3 месяцев и 15 дней",""),IF(AND(AB63="Да",OR(AC63="",AC63&lt;=0)),"Цена тест-драйва за сутки",""),IF(OR(AJ63="",AJ63="Нет"),"Право собственности",""),IF(OR(AK63="",AK63="Нет"),"Справка об отсутствии обременений",""))))</f>
        <v/>
      </c>
      <c r="AN63" s="35">
        <f>IF(NOT(COUNTA(A63:AL63)&gt;0),"",IF(TEXTJOIN(", ",TRUE,IF(AH63="","Описание",""),IF(AND(AE63&lt;&gt;"",AE63&gt;=1,AE63&lt;5),"Фото меньше 5",""),IF(AG63="","Видео",""),IF(H63="","Кадастровый номер",""),IF(AF63="","Ссылка на фото",""))="","",TEXTJOIN(", ",TRUE,IF(AH63="","Описание",""),IF(AND(AE63&lt;&gt;"",AE63&gt;=1,AE63&lt;5),"Фото меньше 5",""),IF(AG63="","Видео",""),IF(H63="","Кадастровый номер",""),IF(AF63="","Ссылка на фото",""))))</f>
        <v/>
      </c>
      <c r="AO63" s="35">
        <f>IF(NOT(COUNTA(A63:AL63)&gt;0),"",IF(AM63="","Можно публиковать","Не хватает"))</f>
        <v/>
      </c>
    </row>
    <row r="64" ht="22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7" t="n"/>
      <c r="K64" s="37" t="n"/>
      <c r="L64" s="37" t="n"/>
      <c r="M64" s="38" t="n"/>
      <c r="N64" s="38" t="n"/>
      <c r="O64" s="38" t="n"/>
      <c r="P64" s="38" t="n"/>
      <c r="Q64" s="38" t="n"/>
      <c r="R64" s="38" t="n"/>
      <c r="S64" s="36" t="n"/>
      <c r="T64" s="36" t="n"/>
      <c r="U64" s="36" t="n"/>
      <c r="V64" s="36" t="n"/>
      <c r="W64" s="39" t="n"/>
      <c r="X64" s="39" t="n"/>
      <c r="Y64" s="39" t="n"/>
      <c r="Z64" s="40" t="n"/>
      <c r="AA64" s="40" t="n"/>
      <c r="AB64" s="36" t="n"/>
      <c r="AC64" s="39" t="n"/>
      <c r="AD64" s="39" t="n"/>
      <c r="AE64" s="38" t="n"/>
      <c r="AF64" s="36" t="n"/>
      <c r="AG64" s="36" t="n"/>
      <c r="AH64" s="36" t="n"/>
      <c r="AI64" s="36" t="n"/>
      <c r="AJ64" s="36" t="n"/>
      <c r="AK64" s="36" t="n"/>
      <c r="AL64" s="36" t="n"/>
      <c r="AM64" s="35">
        <f>IF(NOT(COUNTA(A64:AL64)&gt;0),"",IF(TEXTJOIN(", ",TRUE,IF(B64="","Название",""),IF(C64="","Тип недвижимости",""),IF(D64="","Страна",""),IF(E64="","Город",""),IF(F64="","Улица",""),IF(I64="","Валюта",""),IF(OR(AE64="",AE64&lt;1),"Хотя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земли",""),IF(OR(X64="",X64&lt;=0),"Минимальная цена продажи",""),IF(OR(Y64="",Y64&lt;=0),"Стартовая ставка",""),IF(Z64="","Начало аукциона",""),IF(AA64="","Окончание аукциона",""),IF(AND(W64&lt;&gt;"",X64&lt;&gt;"",X64&gt;W64),"Минимальная цена выше «Продать сейчас»",""),IF(AND(W64&lt;&gt;"",X64&lt;&gt;"",X64&lt;=W64,X64&gt;W64*0.9),"Минимальная цена выше 90% от «Продать сейчас»",""),IF(AND(W64&lt;&gt;"",Y64&lt;&gt;"",Y64&gt;W64*0.3),"Стартовая ставка выше 30% от «Продать сейчас»",""),IF(AND(Z64&lt;&gt;"",AA64&lt;&gt;"",AA64&lt;EDATE(Z64,3)+15),"Аукцион короче 3 месяцев и 15 дней",""),IF(AND(AB64="Да",OR(AC64="",AC64&lt;=0)),"Цена тест-драйва за сутки",""),IF(OR(AJ64="",AJ64="Нет"),"Право собственности",""),IF(OR(AK64="",AK64="Нет"),"Справка об отсутствии обременений",""))="","",TEXTJOIN(", ",TRUE,IF(B64="","Название",""),IF(C64="","Тип недвижимости",""),IF(D64="","Страна",""),IF(E64="","Город",""),IF(F64="","Улица",""),IF(I64="","Валюта",""),IF(OR(AE64="",AE64&lt;1),"Хотя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земли",""),IF(OR(X64="",X64&lt;=0),"Минимальная цена продажи",""),IF(OR(Y64="",Y64&lt;=0),"Стартовая ставка",""),IF(Z64="","Начало аукциона",""),IF(AA64="","Окончание аукциона",""),IF(AND(W64&lt;&gt;"",X64&lt;&gt;"",X64&gt;W64),"Минимальная цена выше «Продать сейчас»",""),IF(AND(W64&lt;&gt;"",X64&lt;&gt;"",X64&lt;=W64,X64&gt;W64*0.9),"Минимальная цена выше 90% от «Продать сейчас»",""),IF(AND(W64&lt;&gt;"",Y64&lt;&gt;"",Y64&gt;W64*0.3),"Стартовая ставка выше 30% от «Продать сейчас»",""),IF(AND(Z64&lt;&gt;"",AA64&lt;&gt;"",AA64&lt;EDATE(Z64,3)+15),"Аукцион короче 3 месяцев и 15 дней",""),IF(AND(AB64="Да",OR(AC64="",AC64&lt;=0)),"Цена тест-драйва за сутки",""),IF(OR(AJ64="",AJ64="Нет"),"Право собственности",""),IF(OR(AK64="",AK64="Нет"),"Справка об отсутствии обременений",""))))</f>
        <v/>
      </c>
      <c r="AN64" s="35">
        <f>IF(NOT(COUNTA(A64:AL64)&gt;0),"",IF(TEXTJOIN(", ",TRUE,IF(AH64="","Описание",""),IF(AND(AE64&lt;&gt;"",AE64&gt;=1,AE64&lt;5),"Фото меньше 5",""),IF(AG64="","Видео",""),IF(H64="","Кадастровый номер",""),IF(AF64="","Ссылка на фото",""))="","",TEXTJOIN(", ",TRUE,IF(AH64="","Описание",""),IF(AND(AE64&lt;&gt;"",AE64&gt;=1,AE64&lt;5),"Фото меньше 5",""),IF(AG64="","Видео",""),IF(H64="","Кадастровый номер",""),IF(AF64="","Ссылка на фото",""))))</f>
        <v/>
      </c>
      <c r="AO64" s="35">
        <f>IF(NOT(COUNTA(A64:AL64)&gt;0),"",IF(AM64="","Можно публиковать","Не хватает"))</f>
        <v/>
      </c>
    </row>
    <row r="65" ht="22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 t="n"/>
      <c r="K65" s="31" t="n"/>
      <c r="L65" s="31" t="n"/>
      <c r="M65" s="32" t="n"/>
      <c r="N65" s="32" t="n"/>
      <c r="O65" s="32" t="n"/>
      <c r="P65" s="32" t="n"/>
      <c r="Q65" s="32" t="n"/>
      <c r="R65" s="32" t="n"/>
      <c r="S65" s="30" t="n"/>
      <c r="T65" s="30" t="n"/>
      <c r="U65" s="30" t="n"/>
      <c r="V65" s="30" t="n"/>
      <c r="W65" s="33" t="n"/>
      <c r="X65" s="33" t="n"/>
      <c r="Y65" s="33" t="n"/>
      <c r="Z65" s="34" t="n"/>
      <c r="AA65" s="34" t="n"/>
      <c r="AB65" s="30" t="n"/>
      <c r="AC65" s="33" t="n"/>
      <c r="AD65" s="33" t="n"/>
      <c r="AE65" s="32" t="n"/>
      <c r="AF65" s="30" t="n"/>
      <c r="AG65" s="30" t="n"/>
      <c r="AH65" s="30" t="n"/>
      <c r="AI65" s="30" t="n"/>
      <c r="AJ65" s="30" t="n"/>
      <c r="AK65" s="30" t="n"/>
      <c r="AL65" s="30" t="n"/>
      <c r="AM65" s="35">
        <f>IF(NOT(COUNTA(A65:AL65)&gt;0),"",IF(TEXTJOIN(", ",TRUE,IF(B65="","Название",""),IF(C65="","Тип недвижимости",""),IF(D65="","Страна",""),IF(E65="","Город",""),IF(F65="","Улица",""),IF(I65="","Валюта",""),IF(OR(AE65="",AE65&lt;1),"Хотя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земли",""),IF(OR(X65="",X65&lt;=0),"Минимальная цена продажи",""),IF(OR(Y65="",Y65&lt;=0),"Стартовая ставка",""),IF(Z65="","Начало аукциона",""),IF(AA65="","Окончание аукциона",""),IF(AND(W65&lt;&gt;"",X65&lt;&gt;"",X65&gt;W65),"Минимальная цена выше «Продать сейчас»",""),IF(AND(W65&lt;&gt;"",X65&lt;&gt;"",X65&lt;=W65,X65&gt;W65*0.9),"Минимальная цена выше 90% от «Продать сейчас»",""),IF(AND(W65&lt;&gt;"",Y65&lt;&gt;"",Y65&gt;W65*0.3),"Стартовая ставка выше 30% от «Продать сейчас»",""),IF(AND(Z65&lt;&gt;"",AA65&lt;&gt;"",AA65&lt;EDATE(Z65,3)+15),"Аукцион короче 3 месяцев и 15 дней",""),IF(AND(AB65="Да",OR(AC65="",AC65&lt;=0)),"Цена тест-драйва за сутки",""),IF(OR(AJ65="",AJ65="Нет"),"Право собственности",""),IF(OR(AK65="",AK65="Нет"),"Справка об отсутствии обременений",""))="","",TEXTJOIN(", ",TRUE,IF(B65="","Название",""),IF(C65="","Тип недвижимости",""),IF(D65="","Страна",""),IF(E65="","Город",""),IF(F65="","Улица",""),IF(I65="","Валюта",""),IF(OR(AE65="",AE65&lt;1),"Хотя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земли",""),IF(OR(X65="",X65&lt;=0),"Минимальная цена продажи",""),IF(OR(Y65="",Y65&lt;=0),"Стартовая ставка",""),IF(Z65="","Начало аукциона",""),IF(AA65="","Окончание аукциона",""),IF(AND(W65&lt;&gt;"",X65&lt;&gt;"",X65&gt;W65),"Минимальная цена выше «Продать сейчас»",""),IF(AND(W65&lt;&gt;"",X65&lt;&gt;"",X65&lt;=W65,X65&gt;W65*0.9),"Минимальная цена выше 90% от «Продать сейчас»",""),IF(AND(W65&lt;&gt;"",Y65&lt;&gt;"",Y65&gt;W65*0.3),"Стартовая ставка выше 30% от «Продать сейчас»",""),IF(AND(Z65&lt;&gt;"",AA65&lt;&gt;"",AA65&lt;EDATE(Z65,3)+15),"Аукцион короче 3 месяцев и 15 дней",""),IF(AND(AB65="Да",OR(AC65="",AC65&lt;=0)),"Цена тест-драйва за сутки",""),IF(OR(AJ65="",AJ65="Нет"),"Право собственности",""),IF(OR(AK65="",AK65="Нет"),"Справка об отсутствии обременений",""))))</f>
        <v/>
      </c>
      <c r="AN65" s="35">
        <f>IF(NOT(COUNTA(A65:AL65)&gt;0),"",IF(TEXTJOIN(", ",TRUE,IF(AH65="","Описание",""),IF(AND(AE65&lt;&gt;"",AE65&gt;=1,AE65&lt;5),"Фото меньше 5",""),IF(AG65="","Видео",""),IF(H65="","Кадастровый номер",""),IF(AF65="","Ссылка на фото",""))="","",TEXTJOIN(", ",TRUE,IF(AH65="","Описание",""),IF(AND(AE65&lt;&gt;"",AE65&gt;=1,AE65&lt;5),"Фото меньше 5",""),IF(AG65="","Видео",""),IF(H65="","Кадастровый номер",""),IF(AF65="","Ссылка на фото",""))))</f>
        <v/>
      </c>
      <c r="AO65" s="35">
        <f>IF(NOT(COUNTA(A65:AL65)&gt;0),"",IF(AM65="","Можно публиковать","Не хватает"))</f>
        <v/>
      </c>
    </row>
    <row r="66" ht="22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7" t="n"/>
      <c r="K66" s="37" t="n"/>
      <c r="L66" s="37" t="n"/>
      <c r="M66" s="38" t="n"/>
      <c r="N66" s="38" t="n"/>
      <c r="O66" s="38" t="n"/>
      <c r="P66" s="38" t="n"/>
      <c r="Q66" s="38" t="n"/>
      <c r="R66" s="38" t="n"/>
      <c r="S66" s="36" t="n"/>
      <c r="T66" s="36" t="n"/>
      <c r="U66" s="36" t="n"/>
      <c r="V66" s="36" t="n"/>
      <c r="W66" s="39" t="n"/>
      <c r="X66" s="39" t="n"/>
      <c r="Y66" s="39" t="n"/>
      <c r="Z66" s="40" t="n"/>
      <c r="AA66" s="40" t="n"/>
      <c r="AB66" s="36" t="n"/>
      <c r="AC66" s="39" t="n"/>
      <c r="AD66" s="39" t="n"/>
      <c r="AE66" s="38" t="n"/>
      <c r="AF66" s="36" t="n"/>
      <c r="AG66" s="36" t="n"/>
      <c r="AH66" s="36" t="n"/>
      <c r="AI66" s="36" t="n"/>
      <c r="AJ66" s="36" t="n"/>
      <c r="AK66" s="36" t="n"/>
      <c r="AL66" s="36" t="n"/>
      <c r="AM66" s="35">
        <f>IF(NOT(COUNTA(A66:AL66)&gt;0),"",IF(TEXTJOIN(", ",TRUE,IF(B66="","Название",""),IF(C66="","Тип недвижимости",""),IF(D66="","Страна",""),IF(E66="","Город",""),IF(F66="","Улица",""),IF(I66="","Валюта",""),IF(OR(AE66="",AE66&lt;1),"Хотя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земли",""),IF(OR(X66="",X66&lt;=0),"Минимальная цена продажи",""),IF(OR(Y66="",Y66&lt;=0),"Стартовая ставка",""),IF(Z66="","Начало аукциона",""),IF(AA66="","Окончание аукциона",""),IF(AND(W66&lt;&gt;"",X66&lt;&gt;"",X66&gt;W66),"Минимальная цена выше «Продать сейчас»",""),IF(AND(W66&lt;&gt;"",X66&lt;&gt;"",X66&lt;=W66,X66&gt;W66*0.9),"Минимальная цена выше 90% от «Продать сейчас»",""),IF(AND(W66&lt;&gt;"",Y66&lt;&gt;"",Y66&gt;W66*0.3),"Стартовая ставка выше 30% от «Продать сейчас»",""),IF(AND(Z66&lt;&gt;"",AA66&lt;&gt;"",AA66&lt;EDATE(Z66,3)+15),"Аукцион короче 3 месяцев и 15 дней",""),IF(AND(AB66="Да",OR(AC66="",AC66&lt;=0)),"Цена тест-драйва за сутки",""),IF(OR(AJ66="",AJ66="Нет"),"Право собственности",""),IF(OR(AK66="",AK66="Нет"),"Справка об отсутствии обременений",""))="","",TEXTJOIN(", ",TRUE,IF(B66="","Название",""),IF(C66="","Тип недвижимости",""),IF(D66="","Страна",""),IF(E66="","Город",""),IF(F66="","Улица",""),IF(I66="","Валюта",""),IF(OR(AE66="",AE66&lt;1),"Хотя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земли",""),IF(OR(X66="",X66&lt;=0),"Минимальная цена продажи",""),IF(OR(Y66="",Y66&lt;=0),"Стартовая ставка",""),IF(Z66="","Начало аукциона",""),IF(AA66="","Окончание аукциона",""),IF(AND(W66&lt;&gt;"",X66&lt;&gt;"",X66&gt;W66),"Минимальная цена выше «Продать сейчас»",""),IF(AND(W66&lt;&gt;"",X66&lt;&gt;"",X66&lt;=W66,X66&gt;W66*0.9),"Минимальная цена выше 90% от «Продать сейчас»",""),IF(AND(W66&lt;&gt;"",Y66&lt;&gt;"",Y66&gt;W66*0.3),"Стартовая ставка выше 30% от «Продать сейчас»",""),IF(AND(Z66&lt;&gt;"",AA66&lt;&gt;"",AA66&lt;EDATE(Z66,3)+15),"Аукцион короче 3 месяцев и 15 дней",""),IF(AND(AB66="Да",OR(AC66="",AC66&lt;=0)),"Цена тест-драйва за сутки",""),IF(OR(AJ66="",AJ66="Нет"),"Право собственности",""),IF(OR(AK66="",AK66="Нет"),"Справка об отсутствии обременений",""))))</f>
        <v/>
      </c>
      <c r="AN66" s="35">
        <f>IF(NOT(COUNTA(A66:AL66)&gt;0),"",IF(TEXTJOIN(", ",TRUE,IF(AH66="","Описание",""),IF(AND(AE66&lt;&gt;"",AE66&gt;=1,AE66&lt;5),"Фото меньше 5",""),IF(AG66="","Видео",""),IF(H66="","Кадастровый номер",""),IF(AF66="","Ссылка на фото",""))="","",TEXTJOIN(", ",TRUE,IF(AH66="","Описание",""),IF(AND(AE66&lt;&gt;"",AE66&gt;=1,AE66&lt;5),"Фото меньше 5",""),IF(AG66="","Видео",""),IF(H66="","Кадастровый номер",""),IF(AF66="","Ссылка на фото",""))))</f>
        <v/>
      </c>
      <c r="AO66" s="35">
        <f>IF(NOT(COUNTA(A66:AL66)&gt;0),"",IF(AM66="","Можно публиковать","Не хватает"))</f>
        <v/>
      </c>
    </row>
    <row r="67" ht="22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 t="n"/>
      <c r="K67" s="31" t="n"/>
      <c r="L67" s="31" t="n"/>
      <c r="M67" s="32" t="n"/>
      <c r="N67" s="32" t="n"/>
      <c r="O67" s="32" t="n"/>
      <c r="P67" s="32" t="n"/>
      <c r="Q67" s="32" t="n"/>
      <c r="R67" s="32" t="n"/>
      <c r="S67" s="30" t="n"/>
      <c r="T67" s="30" t="n"/>
      <c r="U67" s="30" t="n"/>
      <c r="V67" s="30" t="n"/>
      <c r="W67" s="33" t="n"/>
      <c r="X67" s="33" t="n"/>
      <c r="Y67" s="33" t="n"/>
      <c r="Z67" s="34" t="n"/>
      <c r="AA67" s="34" t="n"/>
      <c r="AB67" s="30" t="n"/>
      <c r="AC67" s="33" t="n"/>
      <c r="AD67" s="33" t="n"/>
      <c r="AE67" s="32" t="n"/>
      <c r="AF67" s="30" t="n"/>
      <c r="AG67" s="30" t="n"/>
      <c r="AH67" s="30" t="n"/>
      <c r="AI67" s="30" t="n"/>
      <c r="AJ67" s="30" t="n"/>
      <c r="AK67" s="30" t="n"/>
      <c r="AL67" s="30" t="n"/>
      <c r="AM67" s="35">
        <f>IF(NOT(COUNTA(A67:AL67)&gt;0),"",IF(TEXTJOIN(", ",TRUE,IF(B67="","Название",""),IF(C67="","Тип недвижимости",""),IF(D67="","Страна",""),IF(E67="","Город",""),IF(F67="","Улица",""),IF(I67="","Валюта",""),IF(OR(AE67="",AE67&lt;1),"Хотя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земли",""),IF(OR(X67="",X67&lt;=0),"Минимальная цена продажи",""),IF(OR(Y67="",Y67&lt;=0),"Стартовая ставка",""),IF(Z67="","Начало аукциона",""),IF(AA67="","Окончание аукциона",""),IF(AND(W67&lt;&gt;"",X67&lt;&gt;"",X67&gt;W67),"Минимальная цена выше «Продать сейчас»",""),IF(AND(W67&lt;&gt;"",X67&lt;&gt;"",X67&lt;=W67,X67&gt;W67*0.9),"Минимальная цена выше 90% от «Продать сейчас»",""),IF(AND(W67&lt;&gt;"",Y67&lt;&gt;"",Y67&gt;W67*0.3),"Стартовая ставка выше 30% от «Продать сейчас»",""),IF(AND(Z67&lt;&gt;"",AA67&lt;&gt;"",AA67&lt;EDATE(Z67,3)+15),"Аукцион короче 3 месяцев и 15 дней",""),IF(AND(AB67="Да",OR(AC67="",AC67&lt;=0)),"Цена тест-драйва за сутки",""),IF(OR(AJ67="",AJ67="Нет"),"Право собственности",""),IF(OR(AK67="",AK67="Нет"),"Справка об отсутствии обременений",""))="","",TEXTJOIN(", ",TRUE,IF(B67="","Название",""),IF(C67="","Тип недвижимости",""),IF(D67="","Страна",""),IF(E67="","Город",""),IF(F67="","Улица",""),IF(I67="","Валюта",""),IF(OR(AE67="",AE67&lt;1),"Хотя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земли",""),IF(OR(X67="",X67&lt;=0),"Минимальная цена продажи",""),IF(OR(Y67="",Y67&lt;=0),"Стартовая ставка",""),IF(Z67="","Начало аукциона",""),IF(AA67="","Окончание аукциона",""),IF(AND(W67&lt;&gt;"",X67&lt;&gt;"",X67&gt;W67),"Минимальная цена выше «Продать сейчас»",""),IF(AND(W67&lt;&gt;"",X67&lt;&gt;"",X67&lt;=W67,X67&gt;W67*0.9),"Минимальная цена выше 90% от «Продать сейчас»",""),IF(AND(W67&lt;&gt;"",Y67&lt;&gt;"",Y67&gt;W67*0.3),"Стартовая ставка выше 30% от «Продать сейчас»",""),IF(AND(Z67&lt;&gt;"",AA67&lt;&gt;"",AA67&lt;EDATE(Z67,3)+15),"Аукцион короче 3 месяцев и 15 дней",""),IF(AND(AB67="Да",OR(AC67="",AC67&lt;=0)),"Цена тест-драйва за сутки",""),IF(OR(AJ67="",AJ67="Нет"),"Право собственности",""),IF(OR(AK67="",AK67="Нет"),"Справка об отсутствии обременений",""))))</f>
        <v/>
      </c>
      <c r="AN67" s="35">
        <f>IF(NOT(COUNTA(A67:AL67)&gt;0),"",IF(TEXTJOIN(", ",TRUE,IF(AH67="","Описание",""),IF(AND(AE67&lt;&gt;"",AE67&gt;=1,AE67&lt;5),"Фото меньше 5",""),IF(AG67="","Видео",""),IF(H67="","Кадастровый номер",""),IF(AF67="","Ссылка на фото",""))="","",TEXTJOIN(", ",TRUE,IF(AH67="","Описание",""),IF(AND(AE67&lt;&gt;"",AE67&gt;=1,AE67&lt;5),"Фото меньше 5",""),IF(AG67="","Видео",""),IF(H67="","Кадастровый номер",""),IF(AF67="","Ссылка на фото",""))))</f>
        <v/>
      </c>
      <c r="AO67" s="35">
        <f>IF(NOT(COUNTA(A67:AL67)&gt;0),"",IF(AM67="","Можно публиковать","Не хватает"))</f>
        <v/>
      </c>
    </row>
    <row r="68" ht="22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7" t="n"/>
      <c r="K68" s="37" t="n"/>
      <c r="L68" s="37" t="n"/>
      <c r="M68" s="38" t="n"/>
      <c r="N68" s="38" t="n"/>
      <c r="O68" s="38" t="n"/>
      <c r="P68" s="38" t="n"/>
      <c r="Q68" s="38" t="n"/>
      <c r="R68" s="38" t="n"/>
      <c r="S68" s="36" t="n"/>
      <c r="T68" s="36" t="n"/>
      <c r="U68" s="36" t="n"/>
      <c r="V68" s="36" t="n"/>
      <c r="W68" s="39" t="n"/>
      <c r="X68" s="39" t="n"/>
      <c r="Y68" s="39" t="n"/>
      <c r="Z68" s="40" t="n"/>
      <c r="AA68" s="40" t="n"/>
      <c r="AB68" s="36" t="n"/>
      <c r="AC68" s="39" t="n"/>
      <c r="AD68" s="39" t="n"/>
      <c r="AE68" s="38" t="n"/>
      <c r="AF68" s="36" t="n"/>
      <c r="AG68" s="36" t="n"/>
      <c r="AH68" s="36" t="n"/>
      <c r="AI68" s="36" t="n"/>
      <c r="AJ68" s="36" t="n"/>
      <c r="AK68" s="36" t="n"/>
      <c r="AL68" s="36" t="n"/>
      <c r="AM68" s="35">
        <f>IF(NOT(COUNTA(A68:AL68)&gt;0),"",IF(TEXTJOIN(", ",TRUE,IF(B68="","Название",""),IF(C68="","Тип недвижимости",""),IF(D68="","Страна",""),IF(E68="","Город",""),IF(F68="","Улица",""),IF(I68="","Валюта",""),IF(OR(AE68="",AE68&lt;1),"Хотя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земли",""),IF(OR(X68="",X68&lt;=0),"Минимальная цена продажи",""),IF(OR(Y68="",Y68&lt;=0),"Стартовая ставка",""),IF(Z68="","Начало аукциона",""),IF(AA68="","Окончание аукциона",""),IF(AND(W68&lt;&gt;"",X68&lt;&gt;"",X68&gt;W68),"Минимальная цена выше «Продать сейчас»",""),IF(AND(W68&lt;&gt;"",X68&lt;&gt;"",X68&lt;=W68,X68&gt;W68*0.9),"Минимальная цена выше 90% от «Продать сейчас»",""),IF(AND(W68&lt;&gt;"",Y68&lt;&gt;"",Y68&gt;W68*0.3),"Стартовая ставка выше 30% от «Продать сейчас»",""),IF(AND(Z68&lt;&gt;"",AA68&lt;&gt;"",AA68&lt;EDATE(Z68,3)+15),"Аукцион короче 3 месяцев и 15 дней",""),IF(AND(AB68="Да",OR(AC68="",AC68&lt;=0)),"Цена тест-драйва за сутки",""),IF(OR(AJ68="",AJ68="Нет"),"Право собственности",""),IF(OR(AK68="",AK68="Нет"),"Справка об отсутствии обременений",""))="","",TEXTJOIN(", ",TRUE,IF(B68="","Название",""),IF(C68="","Тип недвижимости",""),IF(D68="","Страна",""),IF(E68="","Город",""),IF(F68="","Улица",""),IF(I68="","Валюта",""),IF(OR(AE68="",AE68&lt;1),"Хотя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земли",""),IF(OR(X68="",X68&lt;=0),"Минимальная цена продажи",""),IF(OR(Y68="",Y68&lt;=0),"Стартовая ставка",""),IF(Z68="","Начало аукциона",""),IF(AA68="","Окончание аукциона",""),IF(AND(W68&lt;&gt;"",X68&lt;&gt;"",X68&gt;W68),"Минимальная цена выше «Продать сейчас»",""),IF(AND(W68&lt;&gt;"",X68&lt;&gt;"",X68&lt;=W68,X68&gt;W68*0.9),"Минимальная цена выше 90% от «Продать сейчас»",""),IF(AND(W68&lt;&gt;"",Y68&lt;&gt;"",Y68&gt;W68*0.3),"Стартовая ставка выше 30% от «Продать сейчас»",""),IF(AND(Z68&lt;&gt;"",AA68&lt;&gt;"",AA68&lt;EDATE(Z68,3)+15),"Аукцион короче 3 месяцев и 15 дней",""),IF(AND(AB68="Да",OR(AC68="",AC68&lt;=0)),"Цена тест-драйва за сутки",""),IF(OR(AJ68="",AJ68="Нет"),"Право собственности",""),IF(OR(AK68="",AK68="Нет"),"Справка об отсутствии обременений",""))))</f>
        <v/>
      </c>
      <c r="AN68" s="35">
        <f>IF(NOT(COUNTA(A68:AL68)&gt;0),"",IF(TEXTJOIN(", ",TRUE,IF(AH68="","Описание",""),IF(AND(AE68&lt;&gt;"",AE68&gt;=1,AE68&lt;5),"Фото меньше 5",""),IF(AG68="","Видео",""),IF(H68="","Кадастровый номер",""),IF(AF68="","Ссылка на фото",""))="","",TEXTJOIN(", ",TRUE,IF(AH68="","Описание",""),IF(AND(AE68&lt;&gt;"",AE68&gt;=1,AE68&lt;5),"Фото меньше 5",""),IF(AG68="","Видео",""),IF(H68="","Кадастровый номер",""),IF(AF68="","Ссылка на фото",""))))</f>
        <v/>
      </c>
      <c r="AO68" s="35">
        <f>IF(NOT(COUNTA(A68:AL68)&gt;0),"",IF(AM68="","Можно публиковать","Не хватает"))</f>
        <v/>
      </c>
    </row>
    <row r="69" ht="22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 t="n"/>
      <c r="K69" s="31" t="n"/>
      <c r="L69" s="31" t="n"/>
      <c r="M69" s="32" t="n"/>
      <c r="N69" s="32" t="n"/>
      <c r="O69" s="32" t="n"/>
      <c r="P69" s="32" t="n"/>
      <c r="Q69" s="32" t="n"/>
      <c r="R69" s="32" t="n"/>
      <c r="S69" s="30" t="n"/>
      <c r="T69" s="30" t="n"/>
      <c r="U69" s="30" t="n"/>
      <c r="V69" s="30" t="n"/>
      <c r="W69" s="33" t="n"/>
      <c r="X69" s="33" t="n"/>
      <c r="Y69" s="33" t="n"/>
      <c r="Z69" s="34" t="n"/>
      <c r="AA69" s="34" t="n"/>
      <c r="AB69" s="30" t="n"/>
      <c r="AC69" s="33" t="n"/>
      <c r="AD69" s="33" t="n"/>
      <c r="AE69" s="32" t="n"/>
      <c r="AF69" s="30" t="n"/>
      <c r="AG69" s="30" t="n"/>
      <c r="AH69" s="30" t="n"/>
      <c r="AI69" s="30" t="n"/>
      <c r="AJ69" s="30" t="n"/>
      <c r="AK69" s="30" t="n"/>
      <c r="AL69" s="30" t="n"/>
      <c r="AM69" s="35">
        <f>IF(NOT(COUNTA(A69:AL69)&gt;0),"",IF(TEXTJOIN(", ",TRUE,IF(B69="","Название",""),IF(C69="","Тип недвижимости",""),IF(D69="","Страна",""),IF(E69="","Город",""),IF(F69="","Улица",""),IF(I69="","Валюта",""),IF(OR(AE69="",AE69&lt;1),"Хотя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земли",""),IF(OR(X69="",X69&lt;=0),"Минимальная цена продажи",""),IF(OR(Y69="",Y69&lt;=0),"Стартовая ставка",""),IF(Z69="","Начало аукциона",""),IF(AA69="","Окончание аукциона",""),IF(AND(W69&lt;&gt;"",X69&lt;&gt;"",X69&gt;W69),"Минимальная цена выше «Продать сейчас»",""),IF(AND(W69&lt;&gt;"",X69&lt;&gt;"",X69&lt;=W69,X69&gt;W69*0.9),"Минимальная цена выше 90% от «Продать сейчас»",""),IF(AND(W69&lt;&gt;"",Y69&lt;&gt;"",Y69&gt;W69*0.3),"Стартовая ставка выше 30% от «Продать сейчас»",""),IF(AND(Z69&lt;&gt;"",AA69&lt;&gt;"",AA69&lt;EDATE(Z69,3)+15),"Аукцион короче 3 месяцев и 15 дней",""),IF(AND(AB69="Да",OR(AC69="",AC69&lt;=0)),"Цена тест-драйва за сутки",""),IF(OR(AJ69="",AJ69="Нет"),"Право собственности",""),IF(OR(AK69="",AK69="Нет"),"Справка об отсутствии обременений",""))="","",TEXTJOIN(", ",TRUE,IF(B69="","Название",""),IF(C69="","Тип недвижимости",""),IF(D69="","Страна",""),IF(E69="","Город",""),IF(F69="","Улица",""),IF(I69="","Валюта",""),IF(OR(AE69="",AE69&lt;1),"Хотя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земли",""),IF(OR(X69="",X69&lt;=0),"Минимальная цена продажи",""),IF(OR(Y69="",Y69&lt;=0),"Стартовая ставка",""),IF(Z69="","Начало аукциона",""),IF(AA69="","Окончание аукциона",""),IF(AND(W69&lt;&gt;"",X69&lt;&gt;"",X69&gt;W69),"Минимальная цена выше «Продать сейчас»",""),IF(AND(W69&lt;&gt;"",X69&lt;&gt;"",X69&lt;=W69,X69&gt;W69*0.9),"Минимальная цена выше 90% от «Продать сейчас»",""),IF(AND(W69&lt;&gt;"",Y69&lt;&gt;"",Y69&gt;W69*0.3),"Стартовая ставка выше 30% от «Продать сейчас»",""),IF(AND(Z69&lt;&gt;"",AA69&lt;&gt;"",AA69&lt;EDATE(Z69,3)+15),"Аукцион короче 3 месяцев и 15 дней",""),IF(AND(AB69="Да",OR(AC69="",AC69&lt;=0)),"Цена тест-драйва за сутки",""),IF(OR(AJ69="",AJ69="Нет"),"Право собственности",""),IF(OR(AK69="",AK69="Нет"),"Справка об отсутствии обременений",""))))</f>
        <v/>
      </c>
      <c r="AN69" s="35">
        <f>IF(NOT(COUNTA(A69:AL69)&gt;0),"",IF(TEXTJOIN(", ",TRUE,IF(AH69="","Описание",""),IF(AND(AE69&lt;&gt;"",AE69&gt;=1,AE69&lt;5),"Фото меньше 5",""),IF(AG69="","Видео",""),IF(H69="","Кадастровый номер",""),IF(AF69="","Ссылка на фото",""))="","",TEXTJOIN(", ",TRUE,IF(AH69="","Описание",""),IF(AND(AE69&lt;&gt;"",AE69&gt;=1,AE69&lt;5),"Фото меньше 5",""),IF(AG69="","Видео",""),IF(H69="","Кадастровый номер",""),IF(AF69="","Ссылка на фото",""))))</f>
        <v/>
      </c>
      <c r="AO69" s="35">
        <f>IF(NOT(COUNTA(A69:AL69)&gt;0),"",IF(AM69="","Можно публиковать","Не хватает"))</f>
        <v/>
      </c>
    </row>
    <row r="70" ht="22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7" t="n"/>
      <c r="K70" s="37" t="n"/>
      <c r="L70" s="37" t="n"/>
      <c r="M70" s="38" t="n"/>
      <c r="N70" s="38" t="n"/>
      <c r="O70" s="38" t="n"/>
      <c r="P70" s="38" t="n"/>
      <c r="Q70" s="38" t="n"/>
      <c r="R70" s="38" t="n"/>
      <c r="S70" s="36" t="n"/>
      <c r="T70" s="36" t="n"/>
      <c r="U70" s="36" t="n"/>
      <c r="V70" s="36" t="n"/>
      <c r="W70" s="39" t="n"/>
      <c r="X70" s="39" t="n"/>
      <c r="Y70" s="39" t="n"/>
      <c r="Z70" s="40" t="n"/>
      <c r="AA70" s="40" t="n"/>
      <c r="AB70" s="36" t="n"/>
      <c r="AC70" s="39" t="n"/>
      <c r="AD70" s="39" t="n"/>
      <c r="AE70" s="38" t="n"/>
      <c r="AF70" s="36" t="n"/>
      <c r="AG70" s="36" t="n"/>
      <c r="AH70" s="36" t="n"/>
      <c r="AI70" s="36" t="n"/>
      <c r="AJ70" s="36" t="n"/>
      <c r="AK70" s="36" t="n"/>
      <c r="AL70" s="36" t="n"/>
      <c r="AM70" s="35">
        <f>IF(NOT(COUNTA(A70:AL70)&gt;0),"",IF(TEXTJOIN(", ",TRUE,IF(B70="","Название",""),IF(C70="","Тип недвижимости",""),IF(D70="","Страна",""),IF(E70="","Город",""),IF(F70="","Улица",""),IF(I70="","Валюта",""),IF(OR(AE70="",AE70&lt;1),"Хотя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земли",""),IF(OR(X70="",X70&lt;=0),"Минимальная цена продажи",""),IF(OR(Y70="",Y70&lt;=0),"Стартовая ставка",""),IF(Z70="","Начало аукциона",""),IF(AA70="","Окончание аукциона",""),IF(AND(W70&lt;&gt;"",X70&lt;&gt;"",X70&gt;W70),"Минимальная цена выше «Продать сейчас»",""),IF(AND(W70&lt;&gt;"",X70&lt;&gt;"",X70&lt;=W70,X70&gt;W70*0.9),"Минимальная цена выше 90% от «Продать сейчас»",""),IF(AND(W70&lt;&gt;"",Y70&lt;&gt;"",Y70&gt;W70*0.3),"Стартовая ставка выше 30% от «Продать сейчас»",""),IF(AND(Z70&lt;&gt;"",AA70&lt;&gt;"",AA70&lt;EDATE(Z70,3)+15),"Аукцион короче 3 месяцев и 15 дней",""),IF(AND(AB70="Да",OR(AC70="",AC70&lt;=0)),"Цена тест-драйва за сутки",""),IF(OR(AJ70="",AJ70="Нет"),"Право собственности",""),IF(OR(AK70="",AK70="Нет"),"Справка об отсутствии обременений",""))="","",TEXTJOIN(", ",TRUE,IF(B70="","Название",""),IF(C70="","Тип недвижимости",""),IF(D70="","Страна",""),IF(E70="","Город",""),IF(F70="","Улица",""),IF(I70="","Валюта",""),IF(OR(AE70="",AE70&lt;1),"Хотя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земли",""),IF(OR(X70="",X70&lt;=0),"Минимальная цена продажи",""),IF(OR(Y70="",Y70&lt;=0),"Стартовая ставка",""),IF(Z70="","Начало аукциона",""),IF(AA70="","Окончание аукциона",""),IF(AND(W70&lt;&gt;"",X70&lt;&gt;"",X70&gt;W70),"Минимальная цена выше «Продать сейчас»",""),IF(AND(W70&lt;&gt;"",X70&lt;&gt;"",X70&lt;=W70,X70&gt;W70*0.9),"Минимальная цена выше 90% от «Продать сейчас»",""),IF(AND(W70&lt;&gt;"",Y70&lt;&gt;"",Y70&gt;W70*0.3),"Стартовая ставка выше 30% от «Продать сейчас»",""),IF(AND(Z70&lt;&gt;"",AA70&lt;&gt;"",AA70&lt;EDATE(Z70,3)+15),"Аукцион короче 3 месяцев и 15 дней",""),IF(AND(AB70="Да",OR(AC70="",AC70&lt;=0)),"Цена тест-драйва за сутки",""),IF(OR(AJ70="",AJ70="Нет"),"Право собственности",""),IF(OR(AK70="",AK70="Нет"),"Справка об отсутствии обременений",""))))</f>
        <v/>
      </c>
      <c r="AN70" s="35">
        <f>IF(NOT(COUNTA(A70:AL70)&gt;0),"",IF(TEXTJOIN(", ",TRUE,IF(AH70="","Описание",""),IF(AND(AE70&lt;&gt;"",AE70&gt;=1,AE70&lt;5),"Фото меньше 5",""),IF(AG70="","Видео",""),IF(H70="","Кадастровый номер",""),IF(AF70="","Ссылка на фото",""))="","",TEXTJOIN(", ",TRUE,IF(AH70="","Описание",""),IF(AND(AE70&lt;&gt;"",AE70&gt;=1,AE70&lt;5),"Фото меньше 5",""),IF(AG70="","Видео",""),IF(H70="","Кадастровый номер",""),IF(AF70="","Ссылка на фото",""))))</f>
        <v/>
      </c>
      <c r="AO70" s="35">
        <f>IF(NOT(COUNTA(A70:AL70)&gt;0),"",IF(AM70="","Можно публиковать","Не хватает"))</f>
        <v/>
      </c>
    </row>
    <row r="71" ht="22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 t="n"/>
      <c r="K71" s="31" t="n"/>
      <c r="L71" s="31" t="n"/>
      <c r="M71" s="32" t="n"/>
      <c r="N71" s="32" t="n"/>
      <c r="O71" s="32" t="n"/>
      <c r="P71" s="32" t="n"/>
      <c r="Q71" s="32" t="n"/>
      <c r="R71" s="32" t="n"/>
      <c r="S71" s="30" t="n"/>
      <c r="T71" s="30" t="n"/>
      <c r="U71" s="30" t="n"/>
      <c r="V71" s="30" t="n"/>
      <c r="W71" s="33" t="n"/>
      <c r="X71" s="33" t="n"/>
      <c r="Y71" s="33" t="n"/>
      <c r="Z71" s="34" t="n"/>
      <c r="AA71" s="34" t="n"/>
      <c r="AB71" s="30" t="n"/>
      <c r="AC71" s="33" t="n"/>
      <c r="AD71" s="33" t="n"/>
      <c r="AE71" s="32" t="n"/>
      <c r="AF71" s="30" t="n"/>
      <c r="AG71" s="30" t="n"/>
      <c r="AH71" s="30" t="n"/>
      <c r="AI71" s="30" t="n"/>
      <c r="AJ71" s="30" t="n"/>
      <c r="AK71" s="30" t="n"/>
      <c r="AL71" s="30" t="n"/>
      <c r="AM71" s="35">
        <f>IF(NOT(COUNTA(A71:AL71)&gt;0),"",IF(TEXTJOIN(", ",TRUE,IF(B71="","Название",""),IF(C71="","Тип недвижимости",""),IF(D71="","Страна",""),IF(E71="","Город",""),IF(F71="","Улица",""),IF(I71="","Валюта",""),IF(OR(AE71="",AE71&lt;1),"Хотя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земли",""),IF(OR(X71="",X71&lt;=0),"Минимальная цена продажи",""),IF(OR(Y71="",Y71&lt;=0),"Стартовая ставка",""),IF(Z71="","Начало аукциона",""),IF(AA71="","Окончание аукциона",""),IF(AND(W71&lt;&gt;"",X71&lt;&gt;"",X71&gt;W71),"Минимальная цена выше «Продать сейчас»",""),IF(AND(W71&lt;&gt;"",X71&lt;&gt;"",X71&lt;=W71,X71&gt;W71*0.9),"Минимальная цена выше 90% от «Продать сейчас»",""),IF(AND(W71&lt;&gt;"",Y71&lt;&gt;"",Y71&gt;W71*0.3),"Стартовая ставка выше 30% от «Продать сейчас»",""),IF(AND(Z71&lt;&gt;"",AA71&lt;&gt;"",AA71&lt;EDATE(Z71,3)+15),"Аукцион короче 3 месяцев и 15 дней",""),IF(AND(AB71="Да",OR(AC71="",AC71&lt;=0)),"Цена тест-драйва за сутки",""),IF(OR(AJ71="",AJ71="Нет"),"Право собственности",""),IF(OR(AK71="",AK71="Нет"),"Справка об отсутствии обременений",""))="","",TEXTJOIN(", ",TRUE,IF(B71="","Название",""),IF(C71="","Тип недвижимости",""),IF(D71="","Страна",""),IF(E71="","Город",""),IF(F71="","Улица",""),IF(I71="","Валюта",""),IF(OR(AE71="",AE71&lt;1),"Хотя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земли",""),IF(OR(X71="",X71&lt;=0),"Минимальная цена продажи",""),IF(OR(Y71="",Y71&lt;=0),"Стартовая ставка",""),IF(Z71="","Начало аукциона",""),IF(AA71="","Окончание аукциона",""),IF(AND(W71&lt;&gt;"",X71&lt;&gt;"",X71&gt;W71),"Минимальная цена выше «Продать сейчас»",""),IF(AND(W71&lt;&gt;"",X71&lt;&gt;"",X71&lt;=W71,X71&gt;W71*0.9),"Минимальная цена выше 90% от «Продать сейчас»",""),IF(AND(W71&lt;&gt;"",Y71&lt;&gt;"",Y71&gt;W71*0.3),"Стартовая ставка выше 30% от «Продать сейчас»",""),IF(AND(Z71&lt;&gt;"",AA71&lt;&gt;"",AA71&lt;EDATE(Z71,3)+15),"Аукцион короче 3 месяцев и 15 дней",""),IF(AND(AB71="Да",OR(AC71="",AC71&lt;=0)),"Цена тест-драйва за сутки",""),IF(OR(AJ71="",AJ71="Нет"),"Право собственности",""),IF(OR(AK71="",AK71="Нет"),"Справка об отсутствии обременений",""))))</f>
        <v/>
      </c>
      <c r="AN71" s="35">
        <f>IF(NOT(COUNTA(A71:AL71)&gt;0),"",IF(TEXTJOIN(", ",TRUE,IF(AH71="","Описание",""),IF(AND(AE71&lt;&gt;"",AE71&gt;=1,AE71&lt;5),"Фото меньше 5",""),IF(AG71="","Видео",""),IF(H71="","Кадастровый номер",""),IF(AF71="","Ссылка на фото",""))="","",TEXTJOIN(", ",TRUE,IF(AH71="","Описание",""),IF(AND(AE71&lt;&gt;"",AE71&gt;=1,AE71&lt;5),"Фото меньше 5",""),IF(AG71="","Видео",""),IF(H71="","Кадастровый номер",""),IF(AF71="","Ссылка на фото",""))))</f>
        <v/>
      </c>
      <c r="AO71" s="35">
        <f>IF(NOT(COUNTA(A71:AL71)&gt;0),"",IF(AM71="","Можно публиковать","Не хватает"))</f>
        <v/>
      </c>
    </row>
    <row r="72" ht="22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7" t="n"/>
      <c r="K72" s="37" t="n"/>
      <c r="L72" s="37" t="n"/>
      <c r="M72" s="38" t="n"/>
      <c r="N72" s="38" t="n"/>
      <c r="O72" s="38" t="n"/>
      <c r="P72" s="38" t="n"/>
      <c r="Q72" s="38" t="n"/>
      <c r="R72" s="38" t="n"/>
      <c r="S72" s="36" t="n"/>
      <c r="T72" s="36" t="n"/>
      <c r="U72" s="36" t="n"/>
      <c r="V72" s="36" t="n"/>
      <c r="W72" s="39" t="n"/>
      <c r="X72" s="39" t="n"/>
      <c r="Y72" s="39" t="n"/>
      <c r="Z72" s="40" t="n"/>
      <c r="AA72" s="40" t="n"/>
      <c r="AB72" s="36" t="n"/>
      <c r="AC72" s="39" t="n"/>
      <c r="AD72" s="39" t="n"/>
      <c r="AE72" s="38" t="n"/>
      <c r="AF72" s="36" t="n"/>
      <c r="AG72" s="36" t="n"/>
      <c r="AH72" s="36" t="n"/>
      <c r="AI72" s="36" t="n"/>
      <c r="AJ72" s="36" t="n"/>
      <c r="AK72" s="36" t="n"/>
      <c r="AL72" s="36" t="n"/>
      <c r="AM72" s="35">
        <f>IF(NOT(COUNTA(A72:AL72)&gt;0),"",IF(TEXTJOIN(", ",TRUE,IF(B72="","Название",""),IF(C72="","Тип недвижимости",""),IF(D72="","Страна",""),IF(E72="","Город",""),IF(F72="","Улица",""),IF(I72="","Валюта",""),IF(OR(AE72="",AE72&lt;1),"Хотя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земли",""),IF(OR(X72="",X72&lt;=0),"Минимальная цена продажи",""),IF(OR(Y72="",Y72&lt;=0),"Стартовая ставка",""),IF(Z72="","Начало аукциона",""),IF(AA72="","Окончание аукциона",""),IF(AND(W72&lt;&gt;"",X72&lt;&gt;"",X72&gt;W72),"Минимальная цена выше «Продать сейчас»",""),IF(AND(W72&lt;&gt;"",X72&lt;&gt;"",X72&lt;=W72,X72&gt;W72*0.9),"Минимальная цена выше 90% от «Продать сейчас»",""),IF(AND(W72&lt;&gt;"",Y72&lt;&gt;"",Y72&gt;W72*0.3),"Стартовая ставка выше 30% от «Продать сейчас»",""),IF(AND(Z72&lt;&gt;"",AA72&lt;&gt;"",AA72&lt;EDATE(Z72,3)+15),"Аукцион короче 3 месяцев и 15 дней",""),IF(AND(AB72="Да",OR(AC72="",AC72&lt;=0)),"Цена тест-драйва за сутки",""),IF(OR(AJ72="",AJ72="Нет"),"Право собственности",""),IF(OR(AK72="",AK72="Нет"),"Справка об отсутствии обременений",""))="","",TEXTJOIN(", ",TRUE,IF(B72="","Название",""),IF(C72="","Тип недвижимости",""),IF(D72="","Страна",""),IF(E72="","Город",""),IF(F72="","Улица",""),IF(I72="","Валюта",""),IF(OR(AE72="",AE72&lt;1),"Хотя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земли",""),IF(OR(X72="",X72&lt;=0),"Минимальная цена продажи",""),IF(OR(Y72="",Y72&lt;=0),"Стартовая ставка",""),IF(Z72="","Начало аукциона",""),IF(AA72="","Окончание аукциона",""),IF(AND(W72&lt;&gt;"",X72&lt;&gt;"",X72&gt;W72),"Минимальная цена выше «Продать сейчас»",""),IF(AND(W72&lt;&gt;"",X72&lt;&gt;"",X72&lt;=W72,X72&gt;W72*0.9),"Минимальная цена выше 90% от «Продать сейчас»",""),IF(AND(W72&lt;&gt;"",Y72&lt;&gt;"",Y72&gt;W72*0.3),"Стартовая ставка выше 30% от «Продать сейчас»",""),IF(AND(Z72&lt;&gt;"",AA72&lt;&gt;"",AA72&lt;EDATE(Z72,3)+15),"Аукцион короче 3 месяцев и 15 дней",""),IF(AND(AB72="Да",OR(AC72="",AC72&lt;=0)),"Цена тест-драйва за сутки",""),IF(OR(AJ72="",AJ72="Нет"),"Право собственности",""),IF(OR(AK72="",AK72="Нет"),"Справка об отсутствии обременений",""))))</f>
        <v/>
      </c>
      <c r="AN72" s="35">
        <f>IF(NOT(COUNTA(A72:AL72)&gt;0),"",IF(TEXTJOIN(", ",TRUE,IF(AH72="","Описание",""),IF(AND(AE72&lt;&gt;"",AE72&gt;=1,AE72&lt;5),"Фото меньше 5",""),IF(AG72="","Видео",""),IF(H72="","Кадастровый номер",""),IF(AF72="","Ссылка на фото",""))="","",TEXTJOIN(", ",TRUE,IF(AH72="","Описание",""),IF(AND(AE72&lt;&gt;"",AE72&gt;=1,AE72&lt;5),"Фото меньше 5",""),IF(AG72="","Видео",""),IF(H72="","Кадастровый номер",""),IF(AF72="","Ссылка на фото",""))))</f>
        <v/>
      </c>
      <c r="AO72" s="35">
        <f>IF(NOT(COUNTA(A72:AL72)&gt;0),"",IF(AM72="","Можно публиковать","Не хватает"))</f>
        <v/>
      </c>
    </row>
    <row r="73" ht="22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 t="n"/>
      <c r="K73" s="31" t="n"/>
      <c r="L73" s="31" t="n"/>
      <c r="M73" s="32" t="n"/>
      <c r="N73" s="32" t="n"/>
      <c r="O73" s="32" t="n"/>
      <c r="P73" s="32" t="n"/>
      <c r="Q73" s="32" t="n"/>
      <c r="R73" s="32" t="n"/>
      <c r="S73" s="30" t="n"/>
      <c r="T73" s="30" t="n"/>
      <c r="U73" s="30" t="n"/>
      <c r="V73" s="30" t="n"/>
      <c r="W73" s="33" t="n"/>
      <c r="X73" s="33" t="n"/>
      <c r="Y73" s="33" t="n"/>
      <c r="Z73" s="34" t="n"/>
      <c r="AA73" s="34" t="n"/>
      <c r="AB73" s="30" t="n"/>
      <c r="AC73" s="33" t="n"/>
      <c r="AD73" s="33" t="n"/>
      <c r="AE73" s="32" t="n"/>
      <c r="AF73" s="30" t="n"/>
      <c r="AG73" s="30" t="n"/>
      <c r="AH73" s="30" t="n"/>
      <c r="AI73" s="30" t="n"/>
      <c r="AJ73" s="30" t="n"/>
      <c r="AK73" s="30" t="n"/>
      <c r="AL73" s="30" t="n"/>
      <c r="AM73" s="35">
        <f>IF(NOT(COUNTA(A73:AL73)&gt;0),"",IF(TEXTJOIN(", ",TRUE,IF(B73="","Название",""),IF(C73="","Тип недвижимости",""),IF(D73="","Страна",""),IF(E73="","Город",""),IF(F73="","Улица",""),IF(I73="","Валюта",""),IF(OR(AE73="",AE73&lt;1),"Хотя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земли",""),IF(OR(X73="",X73&lt;=0),"Минимальная цена продажи",""),IF(OR(Y73="",Y73&lt;=0),"Стартовая ставка",""),IF(Z73="","Начало аукциона",""),IF(AA73="","Окончание аукциона",""),IF(AND(W73&lt;&gt;"",X73&lt;&gt;"",X73&gt;W73),"Минимальная цена выше «Продать сейчас»",""),IF(AND(W73&lt;&gt;"",X73&lt;&gt;"",X73&lt;=W73,X73&gt;W73*0.9),"Минимальная цена выше 90% от «Продать сейчас»",""),IF(AND(W73&lt;&gt;"",Y73&lt;&gt;"",Y73&gt;W73*0.3),"Стартовая ставка выше 30% от «Продать сейчас»",""),IF(AND(Z73&lt;&gt;"",AA73&lt;&gt;"",AA73&lt;EDATE(Z73,3)+15),"Аукцион короче 3 месяцев и 15 дней",""),IF(AND(AB73="Да",OR(AC73="",AC73&lt;=0)),"Цена тест-драйва за сутки",""),IF(OR(AJ73="",AJ73="Нет"),"Право собственности",""),IF(OR(AK73="",AK73="Нет"),"Справка об отсутствии обременений",""))="","",TEXTJOIN(", ",TRUE,IF(B73="","Название",""),IF(C73="","Тип недвижимости",""),IF(D73="","Страна",""),IF(E73="","Город",""),IF(F73="","Улица",""),IF(I73="","Валюта",""),IF(OR(AE73="",AE73&lt;1),"Хотя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земли",""),IF(OR(X73="",X73&lt;=0),"Минимальная цена продажи",""),IF(OR(Y73="",Y73&lt;=0),"Стартовая ставка",""),IF(Z73="","Начало аукциона",""),IF(AA73="","Окончание аукциона",""),IF(AND(W73&lt;&gt;"",X73&lt;&gt;"",X73&gt;W73),"Минимальная цена выше «Продать сейчас»",""),IF(AND(W73&lt;&gt;"",X73&lt;&gt;"",X73&lt;=W73,X73&gt;W73*0.9),"Минимальная цена выше 90% от «Продать сейчас»",""),IF(AND(W73&lt;&gt;"",Y73&lt;&gt;"",Y73&gt;W73*0.3),"Стартовая ставка выше 30% от «Продать сейчас»",""),IF(AND(Z73&lt;&gt;"",AA73&lt;&gt;"",AA73&lt;EDATE(Z73,3)+15),"Аукцион короче 3 месяцев и 15 дней",""),IF(AND(AB73="Да",OR(AC73="",AC73&lt;=0)),"Цена тест-драйва за сутки",""),IF(OR(AJ73="",AJ73="Нет"),"Право собственности",""),IF(OR(AK73="",AK73="Нет"),"Справка об отсутствии обременений",""))))</f>
        <v/>
      </c>
      <c r="AN73" s="35">
        <f>IF(NOT(COUNTA(A73:AL73)&gt;0),"",IF(TEXTJOIN(", ",TRUE,IF(AH73="","Описание",""),IF(AND(AE73&lt;&gt;"",AE73&gt;=1,AE73&lt;5),"Фото меньше 5",""),IF(AG73="","Видео",""),IF(H73="","Кадастровый номер",""),IF(AF73="","Ссылка на фото",""))="","",TEXTJOIN(", ",TRUE,IF(AH73="","Описание",""),IF(AND(AE73&lt;&gt;"",AE73&gt;=1,AE73&lt;5),"Фото меньше 5",""),IF(AG73="","Видео",""),IF(H73="","Кадастровый номер",""),IF(AF73="","Ссылка на фото",""))))</f>
        <v/>
      </c>
      <c r="AO73" s="35">
        <f>IF(NOT(COUNTA(A73:AL73)&gt;0),"",IF(AM73="","Можно публиковать","Не хватает"))</f>
        <v/>
      </c>
    </row>
    <row r="74" ht="22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7" t="n"/>
      <c r="K74" s="37" t="n"/>
      <c r="L74" s="37" t="n"/>
      <c r="M74" s="38" t="n"/>
      <c r="N74" s="38" t="n"/>
      <c r="O74" s="38" t="n"/>
      <c r="P74" s="38" t="n"/>
      <c r="Q74" s="38" t="n"/>
      <c r="R74" s="38" t="n"/>
      <c r="S74" s="36" t="n"/>
      <c r="T74" s="36" t="n"/>
      <c r="U74" s="36" t="n"/>
      <c r="V74" s="36" t="n"/>
      <c r="W74" s="39" t="n"/>
      <c r="X74" s="39" t="n"/>
      <c r="Y74" s="39" t="n"/>
      <c r="Z74" s="40" t="n"/>
      <c r="AA74" s="40" t="n"/>
      <c r="AB74" s="36" t="n"/>
      <c r="AC74" s="39" t="n"/>
      <c r="AD74" s="39" t="n"/>
      <c r="AE74" s="38" t="n"/>
      <c r="AF74" s="36" t="n"/>
      <c r="AG74" s="36" t="n"/>
      <c r="AH74" s="36" t="n"/>
      <c r="AI74" s="36" t="n"/>
      <c r="AJ74" s="36" t="n"/>
      <c r="AK74" s="36" t="n"/>
      <c r="AL74" s="36" t="n"/>
      <c r="AM74" s="35">
        <f>IF(NOT(COUNTA(A74:AL74)&gt;0),"",IF(TEXTJOIN(", ",TRUE,IF(B74="","Название",""),IF(C74="","Тип недвижимости",""),IF(D74="","Страна",""),IF(E74="","Город",""),IF(F74="","Улица",""),IF(I74="","Валюта",""),IF(OR(AE74="",AE74&lt;1),"Хотя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земли",""),IF(OR(X74="",X74&lt;=0),"Минимальная цена продажи",""),IF(OR(Y74="",Y74&lt;=0),"Стартовая ставка",""),IF(Z74="","Начало аукциона",""),IF(AA74="","Окончание аукциона",""),IF(AND(W74&lt;&gt;"",X74&lt;&gt;"",X74&gt;W74),"Минимальная цена выше «Продать сейчас»",""),IF(AND(W74&lt;&gt;"",X74&lt;&gt;"",X74&lt;=W74,X74&gt;W74*0.9),"Минимальная цена выше 90% от «Продать сейчас»",""),IF(AND(W74&lt;&gt;"",Y74&lt;&gt;"",Y74&gt;W74*0.3),"Стартовая ставка выше 30% от «Продать сейчас»",""),IF(AND(Z74&lt;&gt;"",AA74&lt;&gt;"",AA74&lt;EDATE(Z74,3)+15),"Аукцион короче 3 месяцев и 15 дней",""),IF(AND(AB74="Да",OR(AC74="",AC74&lt;=0)),"Цена тест-драйва за сутки",""),IF(OR(AJ74="",AJ74="Нет"),"Право собственности",""),IF(OR(AK74="",AK74="Нет"),"Справка об отсутствии обременений",""))="","",TEXTJOIN(", ",TRUE,IF(B74="","Название",""),IF(C74="","Тип недвижимости",""),IF(D74="","Страна",""),IF(E74="","Город",""),IF(F74="","Улица",""),IF(I74="","Валюта",""),IF(OR(AE74="",AE74&lt;1),"Хотя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земли",""),IF(OR(X74="",X74&lt;=0),"Минимальная цена продажи",""),IF(OR(Y74="",Y74&lt;=0),"Стартовая ставка",""),IF(Z74="","Начало аукциона",""),IF(AA74="","Окончание аукциона",""),IF(AND(W74&lt;&gt;"",X74&lt;&gt;"",X74&gt;W74),"Минимальная цена выше «Продать сейчас»",""),IF(AND(W74&lt;&gt;"",X74&lt;&gt;"",X74&lt;=W74,X74&gt;W74*0.9),"Минимальная цена выше 90% от «Продать сейчас»",""),IF(AND(W74&lt;&gt;"",Y74&lt;&gt;"",Y74&gt;W74*0.3),"Стартовая ставка выше 30% от «Продать сейчас»",""),IF(AND(Z74&lt;&gt;"",AA74&lt;&gt;"",AA74&lt;EDATE(Z74,3)+15),"Аукцион короче 3 месяцев и 15 дней",""),IF(AND(AB74="Да",OR(AC74="",AC74&lt;=0)),"Цена тест-драйва за сутки",""),IF(OR(AJ74="",AJ74="Нет"),"Право собственности",""),IF(OR(AK74="",AK74="Нет"),"Справка об отсутствии обременений",""))))</f>
        <v/>
      </c>
      <c r="AN74" s="35">
        <f>IF(NOT(COUNTA(A74:AL74)&gt;0),"",IF(TEXTJOIN(", ",TRUE,IF(AH74="","Описание",""),IF(AND(AE74&lt;&gt;"",AE74&gt;=1,AE74&lt;5),"Фото меньше 5",""),IF(AG74="","Видео",""),IF(H74="","Кадастровый номер",""),IF(AF74="","Ссылка на фото",""))="","",TEXTJOIN(", ",TRUE,IF(AH74="","Описание",""),IF(AND(AE74&lt;&gt;"",AE74&gt;=1,AE74&lt;5),"Фото меньше 5",""),IF(AG74="","Видео",""),IF(H74="","Кадастровый номер",""),IF(AF74="","Ссылка на фото",""))))</f>
        <v/>
      </c>
      <c r="AO74" s="35">
        <f>IF(NOT(COUNTA(A74:AL74)&gt;0),"",IF(AM74="","Можно публиковать","Не хватает"))</f>
        <v/>
      </c>
    </row>
    <row r="75" ht="22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 t="n"/>
      <c r="K75" s="31" t="n"/>
      <c r="L75" s="31" t="n"/>
      <c r="M75" s="32" t="n"/>
      <c r="N75" s="32" t="n"/>
      <c r="O75" s="32" t="n"/>
      <c r="P75" s="32" t="n"/>
      <c r="Q75" s="32" t="n"/>
      <c r="R75" s="32" t="n"/>
      <c r="S75" s="30" t="n"/>
      <c r="T75" s="30" t="n"/>
      <c r="U75" s="30" t="n"/>
      <c r="V75" s="30" t="n"/>
      <c r="W75" s="33" t="n"/>
      <c r="X75" s="33" t="n"/>
      <c r="Y75" s="33" t="n"/>
      <c r="Z75" s="34" t="n"/>
      <c r="AA75" s="34" t="n"/>
      <c r="AB75" s="30" t="n"/>
      <c r="AC75" s="33" t="n"/>
      <c r="AD75" s="33" t="n"/>
      <c r="AE75" s="32" t="n"/>
      <c r="AF75" s="30" t="n"/>
      <c r="AG75" s="30" t="n"/>
      <c r="AH75" s="30" t="n"/>
      <c r="AI75" s="30" t="n"/>
      <c r="AJ75" s="30" t="n"/>
      <c r="AK75" s="30" t="n"/>
      <c r="AL75" s="30" t="n"/>
      <c r="AM75" s="35">
        <f>IF(NOT(COUNTA(A75:AL75)&gt;0),"",IF(TEXTJOIN(", ",TRUE,IF(B75="","Название",""),IF(C75="","Тип недвижимости",""),IF(D75="","Страна",""),IF(E75="","Город",""),IF(F75="","Улица",""),IF(I75="","Валюта",""),IF(OR(AE75="",AE75&lt;1),"Хотя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земли",""),IF(OR(X75="",X75&lt;=0),"Минимальная цена продажи",""),IF(OR(Y75="",Y75&lt;=0),"Стартовая ставка",""),IF(Z75="","Начало аукциона",""),IF(AA75="","Окончание аукциона",""),IF(AND(W75&lt;&gt;"",X75&lt;&gt;"",X75&gt;W75),"Минимальная цена выше «Продать сейчас»",""),IF(AND(W75&lt;&gt;"",X75&lt;&gt;"",X75&lt;=W75,X75&gt;W75*0.9),"Минимальная цена выше 90% от «Продать сейчас»",""),IF(AND(W75&lt;&gt;"",Y75&lt;&gt;"",Y75&gt;W75*0.3),"Стартовая ставка выше 30% от «Продать сейчас»",""),IF(AND(Z75&lt;&gt;"",AA75&lt;&gt;"",AA75&lt;EDATE(Z75,3)+15),"Аукцион короче 3 месяцев и 15 дней",""),IF(AND(AB75="Да",OR(AC75="",AC75&lt;=0)),"Цена тест-драйва за сутки",""),IF(OR(AJ75="",AJ75="Нет"),"Право собственности",""),IF(OR(AK75="",AK75="Нет"),"Справка об отсутствии обременений",""))="","",TEXTJOIN(", ",TRUE,IF(B75="","Название",""),IF(C75="","Тип недвижимости",""),IF(D75="","Страна",""),IF(E75="","Город",""),IF(F75="","Улица",""),IF(I75="","Валюта",""),IF(OR(AE75="",AE75&lt;1),"Хотя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земли",""),IF(OR(X75="",X75&lt;=0),"Минимальная цена продажи",""),IF(OR(Y75="",Y75&lt;=0),"Стартовая ставка",""),IF(Z75="","Начало аукциона",""),IF(AA75="","Окончание аукциона",""),IF(AND(W75&lt;&gt;"",X75&lt;&gt;"",X75&gt;W75),"Минимальная цена выше «Продать сейчас»",""),IF(AND(W75&lt;&gt;"",X75&lt;&gt;"",X75&lt;=W75,X75&gt;W75*0.9),"Минимальная цена выше 90% от «Продать сейчас»",""),IF(AND(W75&lt;&gt;"",Y75&lt;&gt;"",Y75&gt;W75*0.3),"Стартовая ставка выше 30% от «Продать сейчас»",""),IF(AND(Z75&lt;&gt;"",AA75&lt;&gt;"",AA75&lt;EDATE(Z75,3)+15),"Аукцион короче 3 месяцев и 15 дней",""),IF(AND(AB75="Да",OR(AC75="",AC75&lt;=0)),"Цена тест-драйва за сутки",""),IF(OR(AJ75="",AJ75="Нет"),"Право собственности",""),IF(OR(AK75="",AK75="Нет"),"Справка об отсутствии обременений",""))))</f>
        <v/>
      </c>
      <c r="AN75" s="35">
        <f>IF(NOT(COUNTA(A75:AL75)&gt;0),"",IF(TEXTJOIN(", ",TRUE,IF(AH75="","Описание",""),IF(AND(AE75&lt;&gt;"",AE75&gt;=1,AE75&lt;5),"Фото меньше 5",""),IF(AG75="","Видео",""),IF(H75="","Кадастровый номер",""),IF(AF75="","Ссылка на фото",""))="","",TEXTJOIN(", ",TRUE,IF(AH75="","Описание",""),IF(AND(AE75&lt;&gt;"",AE75&gt;=1,AE75&lt;5),"Фото меньше 5",""),IF(AG75="","Видео",""),IF(H75="","Кадастровый номер",""),IF(AF75="","Ссылка на фото",""))))</f>
        <v/>
      </c>
      <c r="AO75" s="35">
        <f>IF(NOT(COUNTA(A75:AL75)&gt;0),"",IF(AM75="","Можно публиковать","Не хватает"))</f>
        <v/>
      </c>
    </row>
    <row r="76" ht="22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7" t="n"/>
      <c r="K76" s="37" t="n"/>
      <c r="L76" s="37" t="n"/>
      <c r="M76" s="38" t="n"/>
      <c r="N76" s="38" t="n"/>
      <c r="O76" s="38" t="n"/>
      <c r="P76" s="38" t="n"/>
      <c r="Q76" s="38" t="n"/>
      <c r="R76" s="38" t="n"/>
      <c r="S76" s="36" t="n"/>
      <c r="T76" s="36" t="n"/>
      <c r="U76" s="36" t="n"/>
      <c r="V76" s="36" t="n"/>
      <c r="W76" s="39" t="n"/>
      <c r="X76" s="39" t="n"/>
      <c r="Y76" s="39" t="n"/>
      <c r="Z76" s="40" t="n"/>
      <c r="AA76" s="40" t="n"/>
      <c r="AB76" s="36" t="n"/>
      <c r="AC76" s="39" t="n"/>
      <c r="AD76" s="39" t="n"/>
      <c r="AE76" s="38" t="n"/>
      <c r="AF76" s="36" t="n"/>
      <c r="AG76" s="36" t="n"/>
      <c r="AH76" s="36" t="n"/>
      <c r="AI76" s="36" t="n"/>
      <c r="AJ76" s="36" t="n"/>
      <c r="AK76" s="36" t="n"/>
      <c r="AL76" s="36" t="n"/>
      <c r="AM76" s="35">
        <f>IF(NOT(COUNTA(A76:AL76)&gt;0),"",IF(TEXTJOIN(", ",TRUE,IF(B76="","Название",""),IF(C76="","Тип недвижимости",""),IF(D76="","Страна",""),IF(E76="","Город",""),IF(F76="","Улица",""),IF(I76="","Валюта",""),IF(OR(AE76="",AE76&lt;1),"Хотя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земли",""),IF(OR(X76="",X76&lt;=0),"Минимальная цена продажи",""),IF(OR(Y76="",Y76&lt;=0),"Стартовая ставка",""),IF(Z76="","Начало аукциона",""),IF(AA76="","Окончание аукциона",""),IF(AND(W76&lt;&gt;"",X76&lt;&gt;"",X76&gt;W76),"Минимальная цена выше «Продать сейчас»",""),IF(AND(W76&lt;&gt;"",X76&lt;&gt;"",X76&lt;=W76,X76&gt;W76*0.9),"Минимальная цена выше 90% от «Продать сейчас»",""),IF(AND(W76&lt;&gt;"",Y76&lt;&gt;"",Y76&gt;W76*0.3),"Стартовая ставка выше 30% от «Продать сейчас»",""),IF(AND(Z76&lt;&gt;"",AA76&lt;&gt;"",AA76&lt;EDATE(Z76,3)+15),"Аукцион короче 3 месяцев и 15 дней",""),IF(AND(AB76="Да",OR(AC76="",AC76&lt;=0)),"Цена тест-драйва за сутки",""),IF(OR(AJ76="",AJ76="Нет"),"Право собственности",""),IF(OR(AK76="",AK76="Нет"),"Справка об отсутствии обременений",""))="","",TEXTJOIN(", ",TRUE,IF(B76="","Название",""),IF(C76="","Тип недвижимости",""),IF(D76="","Страна",""),IF(E76="","Город",""),IF(F76="","Улица",""),IF(I76="","Валюта",""),IF(OR(AE76="",AE76&lt;1),"Хотя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земли",""),IF(OR(X76="",X76&lt;=0),"Минимальная цена продажи",""),IF(OR(Y76="",Y76&lt;=0),"Стартовая ставка",""),IF(Z76="","Начало аукциона",""),IF(AA76="","Окончание аукциона",""),IF(AND(W76&lt;&gt;"",X76&lt;&gt;"",X76&gt;W76),"Минимальная цена выше «Продать сейчас»",""),IF(AND(W76&lt;&gt;"",X76&lt;&gt;"",X76&lt;=W76,X76&gt;W76*0.9),"Минимальная цена выше 90% от «Продать сейчас»",""),IF(AND(W76&lt;&gt;"",Y76&lt;&gt;"",Y76&gt;W76*0.3),"Стартовая ставка выше 30% от «Продать сейчас»",""),IF(AND(Z76&lt;&gt;"",AA76&lt;&gt;"",AA76&lt;EDATE(Z76,3)+15),"Аукцион короче 3 месяцев и 15 дней",""),IF(AND(AB76="Да",OR(AC76="",AC76&lt;=0)),"Цена тест-драйва за сутки",""),IF(OR(AJ76="",AJ76="Нет"),"Право собственности",""),IF(OR(AK76="",AK76="Нет"),"Справка об отсутствии обременений",""))))</f>
        <v/>
      </c>
      <c r="AN76" s="35">
        <f>IF(NOT(COUNTA(A76:AL76)&gt;0),"",IF(TEXTJOIN(", ",TRUE,IF(AH76="","Описание",""),IF(AND(AE76&lt;&gt;"",AE76&gt;=1,AE76&lt;5),"Фото меньше 5",""),IF(AG76="","Видео",""),IF(H76="","Кадастровый номер",""),IF(AF76="","Ссылка на фото",""))="","",TEXTJOIN(", ",TRUE,IF(AH76="","Описание",""),IF(AND(AE76&lt;&gt;"",AE76&gt;=1,AE76&lt;5),"Фото меньше 5",""),IF(AG76="","Видео",""),IF(H76="","Кадастровый номер",""),IF(AF76="","Ссылка на фото",""))))</f>
        <v/>
      </c>
      <c r="AO76" s="35">
        <f>IF(NOT(COUNTA(A76:AL76)&gt;0),"",IF(AM76="","Можно публиковать","Не хватает"))</f>
        <v/>
      </c>
    </row>
    <row r="77" ht="22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 t="n"/>
      <c r="K77" s="31" t="n"/>
      <c r="L77" s="31" t="n"/>
      <c r="M77" s="32" t="n"/>
      <c r="N77" s="32" t="n"/>
      <c r="O77" s="32" t="n"/>
      <c r="P77" s="32" t="n"/>
      <c r="Q77" s="32" t="n"/>
      <c r="R77" s="32" t="n"/>
      <c r="S77" s="30" t="n"/>
      <c r="T77" s="30" t="n"/>
      <c r="U77" s="30" t="n"/>
      <c r="V77" s="30" t="n"/>
      <c r="W77" s="33" t="n"/>
      <c r="X77" s="33" t="n"/>
      <c r="Y77" s="33" t="n"/>
      <c r="Z77" s="34" t="n"/>
      <c r="AA77" s="34" t="n"/>
      <c r="AB77" s="30" t="n"/>
      <c r="AC77" s="33" t="n"/>
      <c r="AD77" s="33" t="n"/>
      <c r="AE77" s="32" t="n"/>
      <c r="AF77" s="30" t="n"/>
      <c r="AG77" s="30" t="n"/>
      <c r="AH77" s="30" t="n"/>
      <c r="AI77" s="30" t="n"/>
      <c r="AJ77" s="30" t="n"/>
      <c r="AK77" s="30" t="n"/>
      <c r="AL77" s="30" t="n"/>
      <c r="AM77" s="35">
        <f>IF(NOT(COUNTA(A77:AL77)&gt;0),"",IF(TEXTJOIN(", ",TRUE,IF(B77="","Название",""),IF(C77="","Тип недвижимости",""),IF(D77="","Страна",""),IF(E77="","Город",""),IF(F77="","Улица",""),IF(I77="","Валюта",""),IF(OR(AE77="",AE77&lt;1),"Хотя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земли",""),IF(OR(X77="",X77&lt;=0),"Минимальная цена продажи",""),IF(OR(Y77="",Y77&lt;=0),"Стартовая ставка",""),IF(Z77="","Начало аукциона",""),IF(AA77="","Окончание аукциона",""),IF(AND(W77&lt;&gt;"",X77&lt;&gt;"",X77&gt;W77),"Минимальная цена выше «Продать сейчас»",""),IF(AND(W77&lt;&gt;"",X77&lt;&gt;"",X77&lt;=W77,X77&gt;W77*0.9),"Минимальная цена выше 90% от «Продать сейчас»",""),IF(AND(W77&lt;&gt;"",Y77&lt;&gt;"",Y77&gt;W77*0.3),"Стартовая ставка выше 30% от «Продать сейчас»",""),IF(AND(Z77&lt;&gt;"",AA77&lt;&gt;"",AA77&lt;EDATE(Z77,3)+15),"Аукцион короче 3 месяцев и 15 дней",""),IF(AND(AB77="Да",OR(AC77="",AC77&lt;=0)),"Цена тест-драйва за сутки",""),IF(OR(AJ77="",AJ77="Нет"),"Право собственности",""),IF(OR(AK77="",AK77="Нет"),"Справка об отсутствии обременений",""))="","",TEXTJOIN(", ",TRUE,IF(B77="","Название",""),IF(C77="","Тип недвижимости",""),IF(D77="","Страна",""),IF(E77="","Город",""),IF(F77="","Улица",""),IF(I77="","Валюта",""),IF(OR(AE77="",AE77&lt;1),"Хотя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земли",""),IF(OR(X77="",X77&lt;=0),"Минимальная цена продажи",""),IF(OR(Y77="",Y77&lt;=0),"Стартовая ставка",""),IF(Z77="","Начало аукциона",""),IF(AA77="","Окончание аукциона",""),IF(AND(W77&lt;&gt;"",X77&lt;&gt;"",X77&gt;W77),"Минимальная цена выше «Продать сейчас»",""),IF(AND(W77&lt;&gt;"",X77&lt;&gt;"",X77&lt;=W77,X77&gt;W77*0.9),"Минимальная цена выше 90% от «Продать сейчас»",""),IF(AND(W77&lt;&gt;"",Y77&lt;&gt;"",Y77&gt;W77*0.3),"Стартовая ставка выше 30% от «Продать сейчас»",""),IF(AND(Z77&lt;&gt;"",AA77&lt;&gt;"",AA77&lt;EDATE(Z77,3)+15),"Аукцион короче 3 месяцев и 15 дней",""),IF(AND(AB77="Да",OR(AC77="",AC77&lt;=0)),"Цена тест-драйва за сутки",""),IF(OR(AJ77="",AJ77="Нет"),"Право собственности",""),IF(OR(AK77="",AK77="Нет"),"Справка об отсутствии обременений",""))))</f>
        <v/>
      </c>
      <c r="AN77" s="35">
        <f>IF(NOT(COUNTA(A77:AL77)&gt;0),"",IF(TEXTJOIN(", ",TRUE,IF(AH77="","Описание",""),IF(AND(AE77&lt;&gt;"",AE77&gt;=1,AE77&lt;5),"Фото меньше 5",""),IF(AG77="","Видео",""),IF(H77="","Кадастровый номер",""),IF(AF77="","Ссылка на фото",""))="","",TEXTJOIN(", ",TRUE,IF(AH77="","Описание",""),IF(AND(AE77&lt;&gt;"",AE77&gt;=1,AE77&lt;5),"Фото меньше 5",""),IF(AG77="","Видео",""),IF(H77="","Кадастровый номер",""),IF(AF77="","Ссылка на фото",""))))</f>
        <v/>
      </c>
      <c r="AO77" s="35">
        <f>IF(NOT(COUNTA(A77:AL77)&gt;0),"",IF(AM77="","Можно публиковать","Не хватает"))</f>
        <v/>
      </c>
    </row>
    <row r="78" ht="22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7" t="n"/>
      <c r="K78" s="37" t="n"/>
      <c r="L78" s="37" t="n"/>
      <c r="M78" s="38" t="n"/>
      <c r="N78" s="38" t="n"/>
      <c r="O78" s="38" t="n"/>
      <c r="P78" s="38" t="n"/>
      <c r="Q78" s="38" t="n"/>
      <c r="R78" s="38" t="n"/>
      <c r="S78" s="36" t="n"/>
      <c r="T78" s="36" t="n"/>
      <c r="U78" s="36" t="n"/>
      <c r="V78" s="36" t="n"/>
      <c r="W78" s="39" t="n"/>
      <c r="X78" s="39" t="n"/>
      <c r="Y78" s="39" t="n"/>
      <c r="Z78" s="40" t="n"/>
      <c r="AA78" s="40" t="n"/>
      <c r="AB78" s="36" t="n"/>
      <c r="AC78" s="39" t="n"/>
      <c r="AD78" s="39" t="n"/>
      <c r="AE78" s="38" t="n"/>
      <c r="AF78" s="36" t="n"/>
      <c r="AG78" s="36" t="n"/>
      <c r="AH78" s="36" t="n"/>
      <c r="AI78" s="36" t="n"/>
      <c r="AJ78" s="36" t="n"/>
      <c r="AK78" s="36" t="n"/>
      <c r="AL78" s="36" t="n"/>
      <c r="AM78" s="35">
        <f>IF(NOT(COUNTA(A78:AL78)&gt;0),"",IF(TEXTJOIN(", ",TRUE,IF(B78="","Название",""),IF(C78="","Тип недвижимости",""),IF(D78="","Страна",""),IF(E78="","Город",""),IF(F78="","Улица",""),IF(I78="","Валюта",""),IF(OR(AE78="",AE78&lt;1),"Хотя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земли",""),IF(OR(X78="",X78&lt;=0),"Минимальная цена продажи",""),IF(OR(Y78="",Y78&lt;=0),"Стартовая ставка",""),IF(Z78="","Начало аукциона",""),IF(AA78="","Окончание аукциона",""),IF(AND(W78&lt;&gt;"",X78&lt;&gt;"",X78&gt;W78),"Минимальная цена выше «Продать сейчас»",""),IF(AND(W78&lt;&gt;"",X78&lt;&gt;"",X78&lt;=W78,X78&gt;W78*0.9),"Минимальная цена выше 90% от «Продать сейчас»",""),IF(AND(W78&lt;&gt;"",Y78&lt;&gt;"",Y78&gt;W78*0.3),"Стартовая ставка выше 30% от «Продать сейчас»",""),IF(AND(Z78&lt;&gt;"",AA78&lt;&gt;"",AA78&lt;EDATE(Z78,3)+15),"Аукцион короче 3 месяцев и 15 дней",""),IF(AND(AB78="Да",OR(AC78="",AC78&lt;=0)),"Цена тест-драйва за сутки",""),IF(OR(AJ78="",AJ78="Нет"),"Право собственности",""),IF(OR(AK78="",AK78="Нет"),"Справка об отсутствии обременений",""))="","",TEXTJOIN(", ",TRUE,IF(B78="","Название",""),IF(C78="","Тип недвижимости",""),IF(D78="","Страна",""),IF(E78="","Город",""),IF(F78="","Улица",""),IF(I78="","Валюта",""),IF(OR(AE78="",AE78&lt;1),"Хотя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земли",""),IF(OR(X78="",X78&lt;=0),"Минимальная цена продажи",""),IF(OR(Y78="",Y78&lt;=0),"Стартовая ставка",""),IF(Z78="","Начало аукциона",""),IF(AA78="","Окончание аукциона",""),IF(AND(W78&lt;&gt;"",X78&lt;&gt;"",X78&gt;W78),"Минимальная цена выше «Продать сейчас»",""),IF(AND(W78&lt;&gt;"",X78&lt;&gt;"",X78&lt;=W78,X78&gt;W78*0.9),"Минимальная цена выше 90% от «Продать сейчас»",""),IF(AND(W78&lt;&gt;"",Y78&lt;&gt;"",Y78&gt;W78*0.3),"Стартовая ставка выше 30% от «Продать сейчас»",""),IF(AND(Z78&lt;&gt;"",AA78&lt;&gt;"",AA78&lt;EDATE(Z78,3)+15),"Аукцион короче 3 месяцев и 15 дней",""),IF(AND(AB78="Да",OR(AC78="",AC78&lt;=0)),"Цена тест-драйва за сутки",""),IF(OR(AJ78="",AJ78="Нет"),"Право собственности",""),IF(OR(AK78="",AK78="Нет"),"Справка об отсутствии обременений",""))))</f>
        <v/>
      </c>
      <c r="AN78" s="35">
        <f>IF(NOT(COUNTA(A78:AL78)&gt;0),"",IF(TEXTJOIN(", ",TRUE,IF(AH78="","Описание",""),IF(AND(AE78&lt;&gt;"",AE78&gt;=1,AE78&lt;5),"Фото меньше 5",""),IF(AG78="","Видео",""),IF(H78="","Кадастровый номер",""),IF(AF78="","Ссылка на фото",""))="","",TEXTJOIN(", ",TRUE,IF(AH78="","Описание",""),IF(AND(AE78&lt;&gt;"",AE78&gt;=1,AE78&lt;5),"Фото меньше 5",""),IF(AG78="","Видео",""),IF(H78="","Кадастровый номер",""),IF(AF78="","Ссылка на фото",""))))</f>
        <v/>
      </c>
      <c r="AO78" s="35">
        <f>IF(NOT(COUNTA(A78:AL78)&gt;0),"",IF(AM78="","Можно публиковать","Не хватает"))</f>
        <v/>
      </c>
    </row>
    <row r="79" ht="22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31" t="n"/>
      <c r="L79" s="31" t="n"/>
      <c r="M79" s="32" t="n"/>
      <c r="N79" s="32" t="n"/>
      <c r="O79" s="32" t="n"/>
      <c r="P79" s="32" t="n"/>
      <c r="Q79" s="32" t="n"/>
      <c r="R79" s="32" t="n"/>
      <c r="S79" s="30" t="n"/>
      <c r="T79" s="30" t="n"/>
      <c r="U79" s="30" t="n"/>
      <c r="V79" s="30" t="n"/>
      <c r="W79" s="33" t="n"/>
      <c r="X79" s="33" t="n"/>
      <c r="Y79" s="33" t="n"/>
      <c r="Z79" s="34" t="n"/>
      <c r="AA79" s="34" t="n"/>
      <c r="AB79" s="30" t="n"/>
      <c r="AC79" s="33" t="n"/>
      <c r="AD79" s="33" t="n"/>
      <c r="AE79" s="32" t="n"/>
      <c r="AF79" s="30" t="n"/>
      <c r="AG79" s="30" t="n"/>
      <c r="AH79" s="30" t="n"/>
      <c r="AI79" s="30" t="n"/>
      <c r="AJ79" s="30" t="n"/>
      <c r="AK79" s="30" t="n"/>
      <c r="AL79" s="30" t="n"/>
      <c r="AM79" s="35">
        <f>IF(NOT(COUNTA(A79:AL79)&gt;0),"",IF(TEXTJOIN(", ",TRUE,IF(B79="","Название",""),IF(C79="","Тип недвижимости",""),IF(D79="","Страна",""),IF(E79="","Город",""),IF(F79="","Улица",""),IF(I79="","Валюта",""),IF(OR(AE79="",AE79&lt;1),"Хотя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земли",""),IF(OR(X79="",X79&lt;=0),"Минимальная цена продажи",""),IF(OR(Y79="",Y79&lt;=0),"Стартовая ставка",""),IF(Z79="","Начало аукциона",""),IF(AA79="","Окончание аукциона",""),IF(AND(W79&lt;&gt;"",X79&lt;&gt;"",X79&gt;W79),"Минимальная цена выше «Продать сейчас»",""),IF(AND(W79&lt;&gt;"",X79&lt;&gt;"",X79&lt;=W79,X79&gt;W79*0.9),"Минимальная цена выше 90% от «Продать сейчас»",""),IF(AND(W79&lt;&gt;"",Y79&lt;&gt;"",Y79&gt;W79*0.3),"Стартовая ставка выше 30% от «Продать сейчас»",""),IF(AND(Z79&lt;&gt;"",AA79&lt;&gt;"",AA79&lt;EDATE(Z79,3)+15),"Аукцион короче 3 месяцев и 15 дней",""),IF(AND(AB79="Да",OR(AC79="",AC79&lt;=0)),"Цена тест-драйва за сутки",""),IF(OR(AJ79="",AJ79="Нет"),"Право собственности",""),IF(OR(AK79="",AK79="Нет"),"Справка об отсутствии обременений",""))="","",TEXTJOIN(", ",TRUE,IF(B79="","Название",""),IF(C79="","Тип недвижимости",""),IF(D79="","Страна",""),IF(E79="","Город",""),IF(F79="","Улица",""),IF(I79="","Валюта",""),IF(OR(AE79="",AE79&lt;1),"Хотя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земли",""),IF(OR(X79="",X79&lt;=0),"Минимальная цена продажи",""),IF(OR(Y79="",Y79&lt;=0),"Стартовая ставка",""),IF(Z79="","Начало аукциона",""),IF(AA79="","Окончание аукциона",""),IF(AND(W79&lt;&gt;"",X79&lt;&gt;"",X79&gt;W79),"Минимальная цена выше «Продать сейчас»",""),IF(AND(W79&lt;&gt;"",X79&lt;&gt;"",X79&lt;=W79,X79&gt;W79*0.9),"Минимальная цена выше 90% от «Продать сейчас»",""),IF(AND(W79&lt;&gt;"",Y79&lt;&gt;"",Y79&gt;W79*0.3),"Стартовая ставка выше 30% от «Продать сейчас»",""),IF(AND(Z79&lt;&gt;"",AA79&lt;&gt;"",AA79&lt;EDATE(Z79,3)+15),"Аукцион короче 3 месяцев и 15 дней",""),IF(AND(AB79="Да",OR(AC79="",AC79&lt;=0)),"Цена тест-драйва за сутки",""),IF(OR(AJ79="",AJ79="Нет"),"Право собственности",""),IF(OR(AK79="",AK79="Нет"),"Справка об отсутствии обременений",""))))</f>
        <v/>
      </c>
      <c r="AN79" s="35">
        <f>IF(NOT(COUNTA(A79:AL79)&gt;0),"",IF(TEXTJOIN(", ",TRUE,IF(AH79="","Описание",""),IF(AND(AE79&lt;&gt;"",AE79&gt;=1,AE79&lt;5),"Фото меньше 5",""),IF(AG79="","Видео",""),IF(H79="","Кадастровый номер",""),IF(AF79="","Ссылка на фото",""))="","",TEXTJOIN(", ",TRUE,IF(AH79="","Описание",""),IF(AND(AE79&lt;&gt;"",AE79&gt;=1,AE79&lt;5),"Фото меньше 5",""),IF(AG79="","Видео",""),IF(H79="","Кадастровый номер",""),IF(AF79="","Ссылка на фото",""))))</f>
        <v/>
      </c>
      <c r="AO79" s="35">
        <f>IF(NOT(COUNTA(A79:AL79)&gt;0),"",IF(AM79="","Можно публиковать","Не хватает"))</f>
        <v/>
      </c>
    </row>
    <row r="80" ht="22" customHeight="1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7" t="n"/>
      <c r="K80" s="37" t="n"/>
      <c r="L80" s="37" t="n"/>
      <c r="M80" s="38" t="n"/>
      <c r="N80" s="38" t="n"/>
      <c r="O80" s="38" t="n"/>
      <c r="P80" s="38" t="n"/>
      <c r="Q80" s="38" t="n"/>
      <c r="R80" s="38" t="n"/>
      <c r="S80" s="36" t="n"/>
      <c r="T80" s="36" t="n"/>
      <c r="U80" s="36" t="n"/>
      <c r="V80" s="36" t="n"/>
      <c r="W80" s="39" t="n"/>
      <c r="X80" s="39" t="n"/>
      <c r="Y80" s="39" t="n"/>
      <c r="Z80" s="40" t="n"/>
      <c r="AA80" s="40" t="n"/>
      <c r="AB80" s="36" t="n"/>
      <c r="AC80" s="39" t="n"/>
      <c r="AD80" s="39" t="n"/>
      <c r="AE80" s="38" t="n"/>
      <c r="AF80" s="36" t="n"/>
      <c r="AG80" s="36" t="n"/>
      <c r="AH80" s="36" t="n"/>
      <c r="AI80" s="36" t="n"/>
      <c r="AJ80" s="36" t="n"/>
      <c r="AK80" s="36" t="n"/>
      <c r="AL80" s="36" t="n"/>
      <c r="AM80" s="35">
        <f>IF(NOT(COUNTA(A80:AL80)&gt;0),"",IF(TEXTJOIN(", ",TRUE,IF(B80="","Название",""),IF(C80="","Тип недвижимости",""),IF(D80="","Страна",""),IF(E80="","Город",""),IF(F80="","Улица",""),IF(I80="","Валюта",""),IF(OR(AE80="",AE80&lt;1),"Хотя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земли",""),IF(OR(X80="",X80&lt;=0),"Минимальная цена продажи",""),IF(OR(Y80="",Y80&lt;=0),"Стартовая ставка",""),IF(Z80="","Начало аукциона",""),IF(AA80="","Окончание аукциона",""),IF(AND(W80&lt;&gt;"",X80&lt;&gt;"",X80&gt;W80),"Минимальная цена выше «Продать сейчас»",""),IF(AND(W80&lt;&gt;"",X80&lt;&gt;"",X80&lt;=W80,X80&gt;W80*0.9),"Минимальная цена выше 90% от «Продать сейчас»",""),IF(AND(W80&lt;&gt;"",Y80&lt;&gt;"",Y80&gt;W80*0.3),"Стартовая ставка выше 30% от «Продать сейчас»",""),IF(AND(Z80&lt;&gt;"",AA80&lt;&gt;"",AA80&lt;EDATE(Z80,3)+15),"Аукцион короче 3 месяцев и 15 дней",""),IF(AND(AB80="Да",OR(AC80="",AC80&lt;=0)),"Цена тест-драйва за сутки",""),IF(OR(AJ80="",AJ80="Нет"),"Право собственности",""),IF(OR(AK80="",AK80="Нет"),"Справка об отсутствии обременений",""))="","",TEXTJOIN(", ",TRUE,IF(B80="","Название",""),IF(C80="","Тип недвижимости",""),IF(D80="","Страна",""),IF(E80="","Город",""),IF(F80="","Улица",""),IF(I80="","Валюта",""),IF(OR(AE80="",AE80&lt;1),"Хотя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земли",""),IF(OR(X80="",X80&lt;=0),"Минимальная цена продажи",""),IF(OR(Y80="",Y80&lt;=0),"Стартовая ставка",""),IF(Z80="","Начало аукциона",""),IF(AA80="","Окончание аукциона",""),IF(AND(W80&lt;&gt;"",X80&lt;&gt;"",X80&gt;W80),"Минимальная цена выше «Продать сейчас»",""),IF(AND(W80&lt;&gt;"",X80&lt;&gt;"",X80&lt;=W80,X80&gt;W80*0.9),"Минимальная цена выше 90% от «Продать сейчас»",""),IF(AND(W80&lt;&gt;"",Y80&lt;&gt;"",Y80&gt;W80*0.3),"Стартовая ставка выше 30% от «Продать сейчас»",""),IF(AND(Z80&lt;&gt;"",AA80&lt;&gt;"",AA80&lt;EDATE(Z80,3)+15),"Аукцион короче 3 месяцев и 15 дней",""),IF(AND(AB80="Да",OR(AC80="",AC80&lt;=0)),"Цена тест-драйва за сутки",""),IF(OR(AJ80="",AJ80="Нет"),"Право собственности",""),IF(OR(AK80="",AK80="Нет"),"Справка об отсутствии обременений",""))))</f>
        <v/>
      </c>
      <c r="AN80" s="35">
        <f>IF(NOT(COUNTA(A80:AL80)&gt;0),"",IF(TEXTJOIN(", ",TRUE,IF(AH80="","Описание",""),IF(AND(AE80&lt;&gt;"",AE80&gt;=1,AE80&lt;5),"Фото меньше 5",""),IF(AG80="","Видео",""),IF(H80="","Кадастровый номер",""),IF(AF80="","Ссылка на фото",""))="","",TEXTJOIN(", ",TRUE,IF(AH80="","Описание",""),IF(AND(AE80&lt;&gt;"",AE80&gt;=1,AE80&lt;5),"Фото меньше 5",""),IF(AG80="","Видео",""),IF(H80="","Кадастровый номер",""),IF(AF80="","Ссылка на фото",""))))</f>
        <v/>
      </c>
      <c r="AO80" s="35">
        <f>IF(NOT(COUNTA(A80:AL80)&gt;0),"",IF(AM80="","Можно публиковать","Не хватает"))</f>
        <v/>
      </c>
    </row>
    <row r="81" ht="22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 t="n"/>
      <c r="K81" s="31" t="n"/>
      <c r="L81" s="31" t="n"/>
      <c r="M81" s="32" t="n"/>
      <c r="N81" s="32" t="n"/>
      <c r="O81" s="32" t="n"/>
      <c r="P81" s="32" t="n"/>
      <c r="Q81" s="32" t="n"/>
      <c r="R81" s="32" t="n"/>
      <c r="S81" s="30" t="n"/>
      <c r="T81" s="30" t="n"/>
      <c r="U81" s="30" t="n"/>
      <c r="V81" s="30" t="n"/>
      <c r="W81" s="33" t="n"/>
      <c r="X81" s="33" t="n"/>
      <c r="Y81" s="33" t="n"/>
      <c r="Z81" s="34" t="n"/>
      <c r="AA81" s="34" t="n"/>
      <c r="AB81" s="30" t="n"/>
      <c r="AC81" s="33" t="n"/>
      <c r="AD81" s="33" t="n"/>
      <c r="AE81" s="32" t="n"/>
      <c r="AF81" s="30" t="n"/>
      <c r="AG81" s="30" t="n"/>
      <c r="AH81" s="30" t="n"/>
      <c r="AI81" s="30" t="n"/>
      <c r="AJ81" s="30" t="n"/>
      <c r="AK81" s="30" t="n"/>
      <c r="AL81" s="30" t="n"/>
      <c r="AM81" s="35">
        <f>IF(NOT(COUNTA(A81:AL81)&gt;0),"",IF(TEXTJOIN(", ",TRUE,IF(B81="","Название",""),IF(C81="","Тип недвижимости",""),IF(D81="","Страна",""),IF(E81="","Город",""),IF(F81="","Улица",""),IF(I81="","Валюта",""),IF(OR(AE81="",AE81&lt;1),"Хотя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земли",""),IF(OR(X81="",X81&lt;=0),"Минимальная цена продажи",""),IF(OR(Y81="",Y81&lt;=0),"Стартовая ставка",""),IF(Z81="","Начало аукциона",""),IF(AA81="","Окончание аукциона",""),IF(AND(W81&lt;&gt;"",X81&lt;&gt;"",X81&gt;W81),"Минимальная цена выше «Продать сейчас»",""),IF(AND(W81&lt;&gt;"",X81&lt;&gt;"",X81&lt;=W81,X81&gt;W81*0.9),"Минимальная цена выше 90% от «Продать сейчас»",""),IF(AND(W81&lt;&gt;"",Y81&lt;&gt;"",Y81&gt;W81*0.3),"Стартовая ставка выше 30% от «Продать сейчас»",""),IF(AND(Z81&lt;&gt;"",AA81&lt;&gt;"",AA81&lt;EDATE(Z81,3)+15),"Аукцион короче 3 месяцев и 15 дней",""),IF(AND(AB81="Да",OR(AC81="",AC81&lt;=0)),"Цена тест-драйва за сутки",""),IF(OR(AJ81="",AJ81="Нет"),"Право собственности",""),IF(OR(AK81="",AK81="Нет"),"Справка об отсутствии обременений",""))="","",TEXTJOIN(", ",TRUE,IF(B81="","Название",""),IF(C81="","Тип недвижимости",""),IF(D81="","Страна",""),IF(E81="","Город",""),IF(F81="","Улица",""),IF(I81="","Валюта",""),IF(OR(AE81="",AE81&lt;1),"Хотя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земли",""),IF(OR(X81="",X81&lt;=0),"Минимальная цена продажи",""),IF(OR(Y81="",Y81&lt;=0),"Стартовая ставка",""),IF(Z81="","Начало аукциона",""),IF(AA81="","Окончание аукциона",""),IF(AND(W81&lt;&gt;"",X81&lt;&gt;"",X81&gt;W81),"Минимальная цена выше «Продать сейчас»",""),IF(AND(W81&lt;&gt;"",X81&lt;&gt;"",X81&lt;=W81,X81&gt;W81*0.9),"Минимальная цена выше 90% от «Продать сейчас»",""),IF(AND(W81&lt;&gt;"",Y81&lt;&gt;"",Y81&gt;W81*0.3),"Стартовая ставка выше 30% от «Продать сейчас»",""),IF(AND(Z81&lt;&gt;"",AA81&lt;&gt;"",AA81&lt;EDATE(Z81,3)+15),"Аукцион короче 3 месяцев и 15 дней",""),IF(AND(AB81="Да",OR(AC81="",AC81&lt;=0)),"Цена тест-драйва за сутки",""),IF(OR(AJ81="",AJ81="Нет"),"Право собственности",""),IF(OR(AK81="",AK81="Нет"),"Справка об отсутствии обременений",""))))</f>
        <v/>
      </c>
      <c r="AN81" s="35">
        <f>IF(NOT(COUNTA(A81:AL81)&gt;0),"",IF(TEXTJOIN(", ",TRUE,IF(AH81="","Описание",""),IF(AND(AE81&lt;&gt;"",AE81&gt;=1,AE81&lt;5),"Фото меньше 5",""),IF(AG81="","Видео",""),IF(H81="","Кадастровый номер",""),IF(AF81="","Ссылка на фото",""))="","",TEXTJOIN(", ",TRUE,IF(AH81="","Описание",""),IF(AND(AE81&lt;&gt;"",AE81&gt;=1,AE81&lt;5),"Фото меньше 5",""),IF(AG81="","Видео",""),IF(H81="","Кадастровый номер",""),IF(AF81="","Ссылка на фото",""))))</f>
        <v/>
      </c>
      <c r="AO81" s="35">
        <f>IF(NOT(COUNTA(A81:AL81)&gt;0),"",IF(AM81="","Можно публиковать","Не хватает"))</f>
        <v/>
      </c>
    </row>
    <row r="82" ht="22" customHeight="1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7" t="n"/>
      <c r="K82" s="37" t="n"/>
      <c r="L82" s="37" t="n"/>
      <c r="M82" s="38" t="n"/>
      <c r="N82" s="38" t="n"/>
      <c r="O82" s="38" t="n"/>
      <c r="P82" s="38" t="n"/>
      <c r="Q82" s="38" t="n"/>
      <c r="R82" s="38" t="n"/>
      <c r="S82" s="36" t="n"/>
      <c r="T82" s="36" t="n"/>
      <c r="U82" s="36" t="n"/>
      <c r="V82" s="36" t="n"/>
      <c r="W82" s="39" t="n"/>
      <c r="X82" s="39" t="n"/>
      <c r="Y82" s="39" t="n"/>
      <c r="Z82" s="40" t="n"/>
      <c r="AA82" s="40" t="n"/>
      <c r="AB82" s="36" t="n"/>
      <c r="AC82" s="39" t="n"/>
      <c r="AD82" s="39" t="n"/>
      <c r="AE82" s="38" t="n"/>
      <c r="AF82" s="36" t="n"/>
      <c r="AG82" s="36" t="n"/>
      <c r="AH82" s="36" t="n"/>
      <c r="AI82" s="36" t="n"/>
      <c r="AJ82" s="36" t="n"/>
      <c r="AK82" s="36" t="n"/>
      <c r="AL82" s="36" t="n"/>
      <c r="AM82" s="35">
        <f>IF(NOT(COUNTA(A82:AL82)&gt;0),"",IF(TEXTJOIN(", ",TRUE,IF(B82="","Название",""),IF(C82="","Тип недвижимости",""),IF(D82="","Страна",""),IF(E82="","Город",""),IF(F82="","Улица",""),IF(I82="","Валюта",""),IF(OR(AE82="",AE82&lt;1),"Хотя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земли",""),IF(OR(X82="",X82&lt;=0),"Минимальная цена продажи",""),IF(OR(Y82="",Y82&lt;=0),"Стартовая ставка",""),IF(Z82="","Начало аукциона",""),IF(AA82="","Окончание аукциона",""),IF(AND(W82&lt;&gt;"",X82&lt;&gt;"",X82&gt;W82),"Минимальная цена выше «Продать сейчас»",""),IF(AND(W82&lt;&gt;"",X82&lt;&gt;"",X82&lt;=W82,X82&gt;W82*0.9),"Минимальная цена выше 90% от «Продать сейчас»",""),IF(AND(W82&lt;&gt;"",Y82&lt;&gt;"",Y82&gt;W82*0.3),"Стартовая ставка выше 30% от «Продать сейчас»",""),IF(AND(Z82&lt;&gt;"",AA82&lt;&gt;"",AA82&lt;EDATE(Z82,3)+15),"Аукцион короче 3 месяцев и 15 дней",""),IF(AND(AB82="Да",OR(AC82="",AC82&lt;=0)),"Цена тест-драйва за сутки",""),IF(OR(AJ82="",AJ82="Нет"),"Право собственности",""),IF(OR(AK82="",AK82="Нет"),"Справка об отсутствии обременений",""))="","",TEXTJOIN(", ",TRUE,IF(B82="","Название",""),IF(C82="","Тип недвижимости",""),IF(D82="","Страна",""),IF(E82="","Город",""),IF(F82="","Улица",""),IF(I82="","Валюта",""),IF(OR(AE82="",AE82&lt;1),"Хотя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земли",""),IF(OR(X82="",X82&lt;=0),"Минимальная цена продажи",""),IF(OR(Y82="",Y82&lt;=0),"Стартовая ставка",""),IF(Z82="","Начало аукциона",""),IF(AA82="","Окончание аукциона",""),IF(AND(W82&lt;&gt;"",X82&lt;&gt;"",X82&gt;W82),"Минимальная цена выше «Продать сейчас»",""),IF(AND(W82&lt;&gt;"",X82&lt;&gt;"",X82&lt;=W82,X82&gt;W82*0.9),"Минимальная цена выше 90% от «Продать сейчас»",""),IF(AND(W82&lt;&gt;"",Y82&lt;&gt;"",Y82&gt;W82*0.3),"Стартовая ставка выше 30% от «Продать сейчас»",""),IF(AND(Z82&lt;&gt;"",AA82&lt;&gt;"",AA82&lt;EDATE(Z82,3)+15),"Аукцион короче 3 месяцев и 15 дней",""),IF(AND(AB82="Да",OR(AC82="",AC82&lt;=0)),"Цена тест-драйва за сутки",""),IF(OR(AJ82="",AJ82="Нет"),"Право собственности",""),IF(OR(AK82="",AK82="Нет"),"Справка об отсутствии обременений",""))))</f>
        <v/>
      </c>
      <c r="AN82" s="35">
        <f>IF(NOT(COUNTA(A82:AL82)&gt;0),"",IF(TEXTJOIN(", ",TRUE,IF(AH82="","Описание",""),IF(AND(AE82&lt;&gt;"",AE82&gt;=1,AE82&lt;5),"Фото меньше 5",""),IF(AG82="","Видео",""),IF(H82="","Кадастровый номер",""),IF(AF82="","Ссылка на фото",""))="","",TEXTJOIN(", ",TRUE,IF(AH82="","Описание",""),IF(AND(AE82&lt;&gt;"",AE82&gt;=1,AE82&lt;5),"Фото меньше 5",""),IF(AG82="","Видео",""),IF(H82="","Кадастровый номер",""),IF(AF82="","Ссылка на фото",""))))</f>
        <v/>
      </c>
      <c r="AO82" s="35">
        <f>IF(NOT(COUNTA(A82:AL82)&gt;0),"",IF(AM82="","Можно публиковать","Не хватает"))</f>
        <v/>
      </c>
    </row>
  </sheetData>
  <autoFilter ref="A2:AO82"/>
  <mergeCells count="8">
    <mergeCell ref="J1:V1"/>
    <mergeCell ref="AJ1:AL1"/>
    <mergeCell ref="D1:H1"/>
    <mergeCell ref="AE1:AI1"/>
    <mergeCell ref="W1:AA1"/>
    <mergeCell ref="AM1:AO1"/>
    <mergeCell ref="B1:C1"/>
    <mergeCell ref="AB1:AD1"/>
  </mergeCells>
  <conditionalFormatting sqref="AO3:AO82">
    <cfRule type="expression" priority="1" dxfId="0">
      <formula>AO3="Можно публиковать"</formula>
    </cfRule>
    <cfRule type="expression" priority="2" dxfId="1">
      <formula>AO3="Не хватает"</formula>
    </cfRule>
  </conditionalFormatting>
  <conditionalFormatting sqref="AM3:AM82">
    <cfRule type="expression" priority="3" dxfId="2">
      <formula>AM3&lt;&gt;""</formula>
    </cfRule>
  </conditionalFormatting>
  <dataValidations count="9">
    <dataValidation sqref="C3:C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=Types</formula1>
    </dataValidation>
    <dataValidation sqref="I3:I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=Currencies</formula1>
    </dataValidation>
    <dataValidation sqref="S3:S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=Materials</formula1>
    </dataValidation>
    <dataValidation sqref="T3:T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=Construction</formula1>
    </dataValidation>
    <dataValidation sqref="U3:U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=Commercial</formula1>
    </dataValidation>
    <dataValidation sqref="V3:V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=Purpose</formula1>
    </dataValidation>
    <dataValidation sqref="AB3:AB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J3:AJ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K3:AK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</dataValidations>
  <pageMargins left="0.75" right="0.75" top="1" bottom="1" header="0.5" footer="0.5"/>
  <pageSetup orientation="landscape" paperSize="8" fitToHeight="0" fitToWidth="1"/>
  <headerFooter>
    <oddHeader>&amp;LАукцион</oddHeader>
    <oddFooter>&amp;RПустая ячейка в «Не хватает для публикации» значит, что объект можно публиковать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E4D8C"/>
    <outlinePr summaryBelow="1" summaryRight="1"/>
    <pageSetUpPr fitToPage="1"/>
  </sheetPr>
  <dimension ref="A1:AK82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6" customWidth="1" min="4" max="4"/>
    <col width="16" customWidth="1" min="5" max="5"/>
    <col width="26" customWidth="1" min="6" max="6"/>
    <col width="14" customWidth="1" min="7" max="7"/>
    <col width="22" customWidth="1" min="8" max="8"/>
    <col width="12" customWidth="1" min="9" max="9"/>
    <col width="14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0" customWidth="1" min="18" max="18"/>
    <col width="16" customWidth="1" min="19" max="19"/>
    <col width="16" customWidth="1" min="20" max="20"/>
    <col width="18" customWidth="1" min="21" max="21"/>
    <col width="22" customWidth="1" min="22" max="22"/>
    <col width="18" customWidth="1" min="23" max="23"/>
    <col width="16" customWidth="1" min="24" max="24"/>
    <col width="16" customWidth="1" min="25" max="25"/>
    <col width="16" customWidth="1" min="26" max="26"/>
    <col width="12" customWidth="1" min="27" max="27"/>
    <col width="28" customWidth="1" min="28" max="28"/>
    <col width="24" customWidth="1" min="29" max="29"/>
    <col width="36" customWidth="1" min="30" max="30"/>
    <col width="28" customWidth="1" min="31" max="31"/>
    <col width="20" customWidth="1" min="32" max="32"/>
    <col width="18" customWidth="1" min="33" max="33"/>
    <col width="22" customWidth="1" min="34" max="34"/>
    <col width="42" customWidth="1" min="35" max="35"/>
    <col width="36" customWidth="1" min="36" max="36"/>
    <col width="20" customWidth="1" min="37" max="37"/>
  </cols>
  <sheetData>
    <row r="1" ht="22" customHeight="1">
      <c r="A1" s="12" t="inlineStr">
        <is>
          <t>Сбор</t>
        </is>
      </c>
      <c r="B1" s="13" t="inlineStr">
        <is>
          <t>Объект</t>
        </is>
      </c>
      <c r="D1" s="14" t="inlineStr">
        <is>
          <t>Адрес</t>
        </is>
      </c>
      <c r="I1" s="13" t="inlineStr">
        <is>
          <t>Объект</t>
        </is>
      </c>
      <c r="J1" s="15" t="inlineStr">
        <is>
          <t>Параметры</t>
        </is>
      </c>
      <c r="W1" s="16" t="inlineStr">
        <is>
          <t>Доли</t>
        </is>
      </c>
      <c r="AA1" s="17" t="inlineStr">
        <is>
          <t>Подача</t>
        </is>
      </c>
      <c r="AF1" s="18" t="inlineStr">
        <is>
          <t>Документы</t>
        </is>
      </c>
      <c r="AI1" s="19" t="inlineStr">
        <is>
          <t>Проверка</t>
        </is>
      </c>
    </row>
    <row r="2" ht="36" customHeight="1">
      <c r="A2" s="20" t="inlineStr">
        <is>
          <t>Источник</t>
        </is>
      </c>
      <c r="B2" s="21" t="inlineStr">
        <is>
          <t>Название</t>
        </is>
      </c>
      <c r="C2" s="21" t="inlineStr">
        <is>
          <t>Тип недвижимости</t>
        </is>
      </c>
      <c r="D2" s="22" t="inlineStr">
        <is>
          <t>Страна</t>
        </is>
      </c>
      <c r="E2" s="22" t="inlineStr">
        <is>
          <t>Город</t>
        </is>
      </c>
      <c r="F2" s="22" t="inlineStr">
        <is>
          <t>Улица</t>
        </is>
      </c>
      <c r="G2" s="22" t="inlineStr">
        <is>
          <t>Номер дома</t>
        </is>
      </c>
      <c r="H2" s="22" t="inlineStr">
        <is>
          <t>Кадастровый номер</t>
        </is>
      </c>
      <c r="I2" s="21" t="inlineStr">
        <is>
          <t>Валюта</t>
        </is>
      </c>
      <c r="J2" s="23" t="inlineStr">
        <is>
          <t>Площадь, м²</t>
        </is>
      </c>
      <c r="K2" s="23" t="inlineStr">
        <is>
          <t>Жилая, м²</t>
        </is>
      </c>
      <c r="L2" s="23" t="inlineStr">
        <is>
          <t>Участок, м²</t>
        </is>
      </c>
      <c r="M2" s="23" t="inlineStr">
        <is>
          <t>Комнаты</t>
        </is>
      </c>
      <c r="N2" s="23" t="inlineStr">
        <is>
          <t>Спальни</t>
        </is>
      </c>
      <c r="O2" s="23" t="inlineStr">
        <is>
          <t>Ванные</t>
        </is>
      </c>
      <c r="P2" s="23" t="inlineStr">
        <is>
          <t>Этаж</t>
        </is>
      </c>
      <c r="Q2" s="23" t="inlineStr">
        <is>
          <t>Этажей</t>
        </is>
      </c>
      <c r="R2" s="23" t="inlineStr">
        <is>
          <t>Год</t>
        </is>
      </c>
      <c r="S2" s="23" t="inlineStr">
        <is>
          <t>Материал</t>
        </is>
      </c>
      <c r="T2" s="23" t="inlineStr">
        <is>
          <t>Конструкция</t>
        </is>
      </c>
      <c r="U2" s="23" t="inlineStr">
        <is>
          <t>Тип коммерции</t>
        </is>
      </c>
      <c r="V2" s="23" t="inlineStr">
        <is>
          <t>Назначение земли</t>
        </is>
      </c>
      <c r="W2" s="24" t="inlineStr">
        <is>
          <t>Общая стоимость</t>
        </is>
      </c>
      <c r="X2" s="24" t="inlineStr">
        <is>
          <t>Количество долей</t>
        </is>
      </c>
      <c r="Y2" s="24" t="inlineStr">
        <is>
          <t>Цена одной доли</t>
        </is>
      </c>
      <c r="Z2" s="24" t="inlineStr">
        <is>
          <t>Купить целиком</t>
        </is>
      </c>
      <c r="AA2" s="25" t="inlineStr">
        <is>
          <t>Фото, шт.</t>
        </is>
      </c>
      <c r="AB2" s="25" t="inlineStr">
        <is>
          <t>Ссылка на фото</t>
        </is>
      </c>
      <c r="AC2" s="25" t="inlineStr">
        <is>
          <t>Ссылка на видео</t>
        </is>
      </c>
      <c r="AD2" s="25" t="inlineStr">
        <is>
          <t>Описание</t>
        </is>
      </c>
      <c r="AE2" s="25" t="inlineStr">
        <is>
          <t>Удобства</t>
        </is>
      </c>
      <c r="AF2" s="26" t="inlineStr">
        <is>
          <t>Право собственности</t>
        </is>
      </c>
      <c r="AG2" s="26" t="inlineStr">
        <is>
          <t>Нет обременений</t>
        </is>
      </c>
      <c r="AH2" s="26" t="inlineStr">
        <is>
          <t>Доп. документы</t>
        </is>
      </c>
      <c r="AI2" s="27" t="inlineStr">
        <is>
          <t>Не хватает для публикации</t>
        </is>
      </c>
      <c r="AJ2" s="28" t="inlineStr">
        <is>
          <t>Желательно добрать</t>
        </is>
      </c>
      <c r="AK2" s="29" t="inlineStr">
        <is>
          <t>Готовность</t>
        </is>
      </c>
    </row>
    <row r="3" ht="22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1" t="n"/>
      <c r="K3" s="31" t="n"/>
      <c r="L3" s="31" t="n"/>
      <c r="M3" s="32" t="n"/>
      <c r="N3" s="32" t="n"/>
      <c r="O3" s="32" t="n"/>
      <c r="P3" s="32" t="n"/>
      <c r="Q3" s="32" t="n"/>
      <c r="R3" s="32" t="n"/>
      <c r="S3" s="30" t="n"/>
      <c r="T3" s="30" t="n"/>
      <c r="U3" s="30" t="n"/>
      <c r="V3" s="30" t="n"/>
      <c r="W3" s="33" t="n"/>
      <c r="X3" s="32" t="n"/>
      <c r="Y3" s="41">
        <f>IF(OR(W3="",X3="",X3&lt;=0),"",W3/X3)</f>
        <v/>
      </c>
      <c r="Z3" s="30" t="n"/>
      <c r="AA3" s="32" t="n"/>
      <c r="AB3" s="30" t="n"/>
      <c r="AC3" s="30" t="n"/>
      <c r="AD3" s="30" t="n"/>
      <c r="AE3" s="30" t="n"/>
      <c r="AF3" s="30" t="n"/>
      <c r="AG3" s="30" t="n"/>
      <c r="AH3" s="30" t="n"/>
      <c r="AI3" s="35">
        <f>IF(NOT(COUNTA(A3:AH3)&gt;0),"",IF(TEXTJOIN(", ",TRUE,IF(B3="","Название",""),IF(C3="","Тип недвижимости",""),IF(D3="","Страна",""),IF(E3="","Город",""),IF(F3="","Улица",""),IF(I3="","Валюта",""),IF(OR(AA3="",AA3&lt;1),"Хотя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земли",""),IF(OR(AF3="",AF3="Нет"),"Право собственности",""),IF(OR(AG3="",AG3="Нет"),"Справка об отсутствии обременений",""),IF(OR(W3="",W3&lt;=0),"Общая стоимость",""),IF(OR(X3="",X3&lt;=0),"Количество долей",""),IF(AND(X3&lt;&gt;"",X3&lt;&gt;INT(X3)),"Количество долей должно быть целым",""))="","",TEXTJOIN(", ",TRUE,IF(B3="","Название",""),IF(C3="","Тип недвижимости",""),IF(D3="","Страна",""),IF(E3="","Город",""),IF(F3="","Улица",""),IF(I3="","Валюта",""),IF(OR(AA3="",AA3&lt;1),"Хотя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земли",""),IF(OR(AF3="",AF3="Нет"),"Право собственности",""),IF(OR(AG3="",AG3="Нет"),"Справка об отсутствии обременений",""),IF(OR(W3="",W3&lt;=0),"Общая стоимость",""),IF(OR(X3="",X3&lt;=0),"Количество долей",""),IF(AND(X3&lt;&gt;"",X3&lt;&gt;INT(X3)),"Количество долей должно быть целым",""))))</f>
        <v/>
      </c>
      <c r="AJ3" s="35">
        <f>IF(NOT(COUNTA(A3:AH3)&gt;0),"",IF(TEXTJOIN(", ",TRUE,IF(AD3="","Описание",""),IF(AND(AA3&lt;&gt;"",AA3&gt;=1,AA3&lt;5),"Фото меньше 5",""),IF(AC3="","Видео",""),IF(H3="","Кадастровый номер",""),IF(AB3="","Ссылка на фото",""))="","",TEXTJOIN(", ",TRUE,IF(AD3="","Описание",""),IF(AND(AA3&lt;&gt;"",AA3&gt;=1,AA3&lt;5),"Фото меньше 5",""),IF(AC3="","Видео",""),IF(H3="","Кадастровый номер",""),IF(AB3="","Ссылка на фото",""))))</f>
        <v/>
      </c>
      <c r="AK3" s="35">
        <f>IF(NOT(COUNTA(A3:AH3)&gt;0),"",IF(AI3="","Можно публиковать","Не хватает"))</f>
        <v/>
      </c>
    </row>
    <row r="4" ht="22" customHeight="1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7" t="n"/>
      <c r="K4" s="37" t="n"/>
      <c r="L4" s="37" t="n"/>
      <c r="M4" s="38" t="n"/>
      <c r="N4" s="38" t="n"/>
      <c r="O4" s="38" t="n"/>
      <c r="P4" s="38" t="n"/>
      <c r="Q4" s="38" t="n"/>
      <c r="R4" s="38" t="n"/>
      <c r="S4" s="36" t="n"/>
      <c r="T4" s="36" t="n"/>
      <c r="U4" s="36" t="n"/>
      <c r="V4" s="36" t="n"/>
      <c r="W4" s="39" t="n"/>
      <c r="X4" s="38" t="n"/>
      <c r="Y4" s="41">
        <f>IF(OR(W4="",X4="",X4&lt;=0),"",W4/X4)</f>
        <v/>
      </c>
      <c r="Z4" s="36" t="n"/>
      <c r="AA4" s="38" t="n"/>
      <c r="AB4" s="36" t="n"/>
      <c r="AC4" s="36" t="n"/>
      <c r="AD4" s="36" t="n"/>
      <c r="AE4" s="36" t="n"/>
      <c r="AF4" s="36" t="n"/>
      <c r="AG4" s="36" t="n"/>
      <c r="AH4" s="36" t="n"/>
      <c r="AI4" s="35">
        <f>IF(NOT(COUNTA(A4:AH4)&gt;0),"",IF(TEXTJOIN(", ",TRUE,IF(B4="","Название",""),IF(C4="","Тип недвижимости",""),IF(D4="","Страна",""),IF(E4="","Город",""),IF(F4="","Улица",""),IF(I4="","Валюта",""),IF(OR(AA4="",AA4&lt;1),"Хотя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земли",""),IF(OR(AF4="",AF4="Нет"),"Право собственности",""),IF(OR(AG4="",AG4="Нет"),"Справка об отсутствии обременений",""),IF(OR(W4="",W4&lt;=0),"Общая стоимость",""),IF(OR(X4="",X4&lt;=0),"Количество долей",""),IF(AND(X4&lt;&gt;"",X4&lt;&gt;INT(X4)),"Количество долей должно быть целым",""))="","",TEXTJOIN(", ",TRUE,IF(B4="","Название",""),IF(C4="","Тип недвижимости",""),IF(D4="","Страна",""),IF(E4="","Город",""),IF(F4="","Улица",""),IF(I4="","Валюта",""),IF(OR(AA4="",AA4&lt;1),"Хотя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земли",""),IF(OR(AF4="",AF4="Нет"),"Право собственности",""),IF(OR(AG4="",AG4="Нет"),"Справка об отсутствии обременений",""),IF(OR(W4="",W4&lt;=0),"Общая стоимость",""),IF(OR(X4="",X4&lt;=0),"Количество долей",""),IF(AND(X4&lt;&gt;"",X4&lt;&gt;INT(X4)),"Количество долей должно быть целым",""))))</f>
        <v/>
      </c>
      <c r="AJ4" s="35">
        <f>IF(NOT(COUNTA(A4:AH4)&gt;0),"",IF(TEXTJOIN(", ",TRUE,IF(AD4="","Описание",""),IF(AND(AA4&lt;&gt;"",AA4&gt;=1,AA4&lt;5),"Фото меньше 5",""),IF(AC4="","Видео",""),IF(H4="","Кадастровый номер",""),IF(AB4="","Ссылка на фото",""))="","",TEXTJOIN(", ",TRUE,IF(AD4="","Описание",""),IF(AND(AA4&lt;&gt;"",AA4&gt;=1,AA4&lt;5),"Фото меньше 5",""),IF(AC4="","Видео",""),IF(H4="","Кадастровый номер",""),IF(AB4="","Ссылка на фото",""))))</f>
        <v/>
      </c>
      <c r="AK4" s="35">
        <f>IF(NOT(COUNTA(A4:AH4)&gt;0),"",IF(AI4="","Можно публиковать","Не хватает"))</f>
        <v/>
      </c>
    </row>
    <row r="5" ht="22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31" t="n"/>
      <c r="L5" s="31" t="n"/>
      <c r="M5" s="32" t="n"/>
      <c r="N5" s="32" t="n"/>
      <c r="O5" s="32" t="n"/>
      <c r="P5" s="32" t="n"/>
      <c r="Q5" s="32" t="n"/>
      <c r="R5" s="32" t="n"/>
      <c r="S5" s="30" t="n"/>
      <c r="T5" s="30" t="n"/>
      <c r="U5" s="30" t="n"/>
      <c r="V5" s="30" t="n"/>
      <c r="W5" s="33" t="n"/>
      <c r="X5" s="32" t="n"/>
      <c r="Y5" s="41">
        <f>IF(OR(W5="",X5="",X5&lt;=0),"",W5/X5)</f>
        <v/>
      </c>
      <c r="Z5" s="30" t="n"/>
      <c r="AA5" s="32" t="n"/>
      <c r="AB5" s="30" t="n"/>
      <c r="AC5" s="30" t="n"/>
      <c r="AD5" s="30" t="n"/>
      <c r="AE5" s="30" t="n"/>
      <c r="AF5" s="30" t="n"/>
      <c r="AG5" s="30" t="n"/>
      <c r="AH5" s="30" t="n"/>
      <c r="AI5" s="35">
        <f>IF(NOT(COUNTA(A5:AH5)&gt;0),"",IF(TEXTJOIN(", ",TRUE,IF(B5="","Название",""),IF(C5="","Тип недвижимости",""),IF(D5="","Страна",""),IF(E5="","Город",""),IF(F5="","Улица",""),IF(I5="","Валюта",""),IF(OR(AA5="",AA5&lt;1),"Хотя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земли",""),IF(OR(AF5="",AF5="Нет"),"Право собственности",""),IF(OR(AG5="",AG5="Нет"),"Справка об отсутствии обременений",""),IF(OR(W5="",W5&lt;=0),"Общая стоимость",""),IF(OR(X5="",X5&lt;=0),"Количество долей",""),IF(AND(X5&lt;&gt;"",X5&lt;&gt;INT(X5)),"Количество долей должно быть целым",""))="","",TEXTJOIN(", ",TRUE,IF(B5="","Название",""),IF(C5="","Тип недвижимости",""),IF(D5="","Страна",""),IF(E5="","Город",""),IF(F5="","Улица",""),IF(I5="","Валюта",""),IF(OR(AA5="",AA5&lt;1),"Хотя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земли",""),IF(OR(AF5="",AF5="Нет"),"Право собственности",""),IF(OR(AG5="",AG5="Нет"),"Справка об отсутствии обременений",""),IF(OR(W5="",W5&lt;=0),"Общая стоимость",""),IF(OR(X5="",X5&lt;=0),"Количество долей",""),IF(AND(X5&lt;&gt;"",X5&lt;&gt;INT(X5)),"Количество долей должно быть целым",""))))</f>
        <v/>
      </c>
      <c r="AJ5" s="35">
        <f>IF(NOT(COUNTA(A5:AH5)&gt;0),"",IF(TEXTJOIN(", ",TRUE,IF(AD5="","Описание",""),IF(AND(AA5&lt;&gt;"",AA5&gt;=1,AA5&lt;5),"Фото меньше 5",""),IF(AC5="","Видео",""),IF(H5="","Кадастровый номер",""),IF(AB5="","Ссылка на фото",""))="","",TEXTJOIN(", ",TRUE,IF(AD5="","Описание",""),IF(AND(AA5&lt;&gt;"",AA5&gt;=1,AA5&lt;5),"Фото меньше 5",""),IF(AC5="","Видео",""),IF(H5="","Кадастровый номер",""),IF(AB5="","Ссылка на фото",""))))</f>
        <v/>
      </c>
      <c r="AK5" s="35">
        <f>IF(NOT(COUNTA(A5:AH5)&gt;0),"",IF(AI5="","Можно публиковать","Не хватает"))</f>
        <v/>
      </c>
    </row>
    <row r="6" ht="22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7" t="n"/>
      <c r="K6" s="37" t="n"/>
      <c r="L6" s="37" t="n"/>
      <c r="M6" s="38" t="n"/>
      <c r="N6" s="38" t="n"/>
      <c r="O6" s="38" t="n"/>
      <c r="P6" s="38" t="n"/>
      <c r="Q6" s="38" t="n"/>
      <c r="R6" s="38" t="n"/>
      <c r="S6" s="36" t="n"/>
      <c r="T6" s="36" t="n"/>
      <c r="U6" s="36" t="n"/>
      <c r="V6" s="36" t="n"/>
      <c r="W6" s="39" t="n"/>
      <c r="X6" s="38" t="n"/>
      <c r="Y6" s="41">
        <f>IF(OR(W6="",X6="",X6&lt;=0),"",W6/X6)</f>
        <v/>
      </c>
      <c r="Z6" s="36" t="n"/>
      <c r="AA6" s="38" t="n"/>
      <c r="AB6" s="36" t="n"/>
      <c r="AC6" s="36" t="n"/>
      <c r="AD6" s="36" t="n"/>
      <c r="AE6" s="36" t="n"/>
      <c r="AF6" s="36" t="n"/>
      <c r="AG6" s="36" t="n"/>
      <c r="AH6" s="36" t="n"/>
      <c r="AI6" s="35">
        <f>IF(NOT(COUNTA(A6:AH6)&gt;0),"",IF(TEXTJOIN(", ",TRUE,IF(B6="","Название",""),IF(C6="","Тип недвижимости",""),IF(D6="","Страна",""),IF(E6="","Город",""),IF(F6="","Улица",""),IF(I6="","Валюта",""),IF(OR(AA6="",AA6&lt;1),"Хотя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земли",""),IF(OR(AF6="",AF6="Нет"),"Право собственности",""),IF(OR(AG6="",AG6="Нет"),"Справка об отсутствии обременений",""),IF(OR(W6="",W6&lt;=0),"Общая стоимость",""),IF(OR(X6="",X6&lt;=0),"Количество долей",""),IF(AND(X6&lt;&gt;"",X6&lt;&gt;INT(X6)),"Количество долей должно быть целым",""))="","",TEXTJOIN(", ",TRUE,IF(B6="","Название",""),IF(C6="","Тип недвижимости",""),IF(D6="","Страна",""),IF(E6="","Город",""),IF(F6="","Улица",""),IF(I6="","Валюта",""),IF(OR(AA6="",AA6&lt;1),"Хотя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земли",""),IF(OR(AF6="",AF6="Нет"),"Право собственности",""),IF(OR(AG6="",AG6="Нет"),"Справка об отсутствии обременений",""),IF(OR(W6="",W6&lt;=0),"Общая стоимость",""),IF(OR(X6="",X6&lt;=0),"Количество долей",""),IF(AND(X6&lt;&gt;"",X6&lt;&gt;INT(X6)),"Количество долей должно быть целым",""))))</f>
        <v/>
      </c>
      <c r="AJ6" s="35">
        <f>IF(NOT(COUNTA(A6:AH6)&gt;0),"",IF(TEXTJOIN(", ",TRUE,IF(AD6="","Описание",""),IF(AND(AA6&lt;&gt;"",AA6&gt;=1,AA6&lt;5),"Фото меньше 5",""),IF(AC6="","Видео",""),IF(H6="","Кадастровый номер",""),IF(AB6="","Ссылка на фото",""))="","",TEXTJOIN(", ",TRUE,IF(AD6="","Описание",""),IF(AND(AA6&lt;&gt;"",AA6&gt;=1,AA6&lt;5),"Фото меньше 5",""),IF(AC6="","Видео",""),IF(H6="","Кадастровый номер",""),IF(AB6="","Ссылка на фото",""))))</f>
        <v/>
      </c>
      <c r="AK6" s="35">
        <f>IF(NOT(COUNTA(A6:AH6)&gt;0),"",IF(AI6="","Можно публиковать","Не хватает"))</f>
        <v/>
      </c>
    </row>
    <row r="7" ht="22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31" t="n"/>
      <c r="L7" s="31" t="n"/>
      <c r="M7" s="32" t="n"/>
      <c r="N7" s="32" t="n"/>
      <c r="O7" s="32" t="n"/>
      <c r="P7" s="32" t="n"/>
      <c r="Q7" s="32" t="n"/>
      <c r="R7" s="32" t="n"/>
      <c r="S7" s="30" t="n"/>
      <c r="T7" s="30" t="n"/>
      <c r="U7" s="30" t="n"/>
      <c r="V7" s="30" t="n"/>
      <c r="W7" s="33" t="n"/>
      <c r="X7" s="32" t="n"/>
      <c r="Y7" s="41">
        <f>IF(OR(W7="",X7="",X7&lt;=0),"",W7/X7)</f>
        <v/>
      </c>
      <c r="Z7" s="30" t="n"/>
      <c r="AA7" s="32" t="n"/>
      <c r="AB7" s="30" t="n"/>
      <c r="AC7" s="30" t="n"/>
      <c r="AD7" s="30" t="n"/>
      <c r="AE7" s="30" t="n"/>
      <c r="AF7" s="30" t="n"/>
      <c r="AG7" s="30" t="n"/>
      <c r="AH7" s="30" t="n"/>
      <c r="AI7" s="35">
        <f>IF(NOT(COUNTA(A7:AH7)&gt;0),"",IF(TEXTJOIN(", ",TRUE,IF(B7="","Название",""),IF(C7="","Тип недвижимости",""),IF(D7="","Страна",""),IF(E7="","Город",""),IF(F7="","Улица",""),IF(I7="","Валюта",""),IF(OR(AA7="",AA7&lt;1),"Хотя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земли",""),IF(OR(AF7="",AF7="Нет"),"Право собственности",""),IF(OR(AG7="",AG7="Нет"),"Справка об отсутствии обременений",""),IF(OR(W7="",W7&lt;=0),"Общая стоимость",""),IF(OR(X7="",X7&lt;=0),"Количество долей",""),IF(AND(X7&lt;&gt;"",X7&lt;&gt;INT(X7)),"Количество долей должно быть целым",""))="","",TEXTJOIN(", ",TRUE,IF(B7="","Название",""),IF(C7="","Тип недвижимости",""),IF(D7="","Страна",""),IF(E7="","Город",""),IF(F7="","Улица",""),IF(I7="","Валюта",""),IF(OR(AA7="",AA7&lt;1),"Хотя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земли",""),IF(OR(AF7="",AF7="Нет"),"Право собственности",""),IF(OR(AG7="",AG7="Нет"),"Справка об отсутствии обременений",""),IF(OR(W7="",W7&lt;=0),"Общая стоимость",""),IF(OR(X7="",X7&lt;=0),"Количество долей",""),IF(AND(X7&lt;&gt;"",X7&lt;&gt;INT(X7)),"Количество долей должно быть целым",""))))</f>
        <v/>
      </c>
      <c r="AJ7" s="35">
        <f>IF(NOT(COUNTA(A7:AH7)&gt;0),"",IF(TEXTJOIN(", ",TRUE,IF(AD7="","Описание",""),IF(AND(AA7&lt;&gt;"",AA7&gt;=1,AA7&lt;5),"Фото меньше 5",""),IF(AC7="","Видео",""),IF(H7="","Кадастровый номер",""),IF(AB7="","Ссылка на фото",""))="","",TEXTJOIN(", ",TRUE,IF(AD7="","Описание",""),IF(AND(AA7&lt;&gt;"",AA7&gt;=1,AA7&lt;5),"Фото меньше 5",""),IF(AC7="","Видео",""),IF(H7="","Кадастровый номер",""),IF(AB7="","Ссылка на фото",""))))</f>
        <v/>
      </c>
      <c r="AK7" s="35">
        <f>IF(NOT(COUNTA(A7:AH7)&gt;0),"",IF(AI7="","Можно публиковать","Не хватает"))</f>
        <v/>
      </c>
    </row>
    <row r="8" ht="22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7" t="n"/>
      <c r="L8" s="37" t="n"/>
      <c r="M8" s="38" t="n"/>
      <c r="N8" s="38" t="n"/>
      <c r="O8" s="38" t="n"/>
      <c r="P8" s="38" t="n"/>
      <c r="Q8" s="38" t="n"/>
      <c r="R8" s="38" t="n"/>
      <c r="S8" s="36" t="n"/>
      <c r="T8" s="36" t="n"/>
      <c r="U8" s="36" t="n"/>
      <c r="V8" s="36" t="n"/>
      <c r="W8" s="39" t="n"/>
      <c r="X8" s="38" t="n"/>
      <c r="Y8" s="41">
        <f>IF(OR(W8="",X8="",X8&lt;=0),"",W8/X8)</f>
        <v/>
      </c>
      <c r="Z8" s="36" t="n"/>
      <c r="AA8" s="38" t="n"/>
      <c r="AB8" s="36" t="n"/>
      <c r="AC8" s="36" t="n"/>
      <c r="AD8" s="36" t="n"/>
      <c r="AE8" s="36" t="n"/>
      <c r="AF8" s="36" t="n"/>
      <c r="AG8" s="36" t="n"/>
      <c r="AH8" s="36" t="n"/>
      <c r="AI8" s="35">
        <f>IF(NOT(COUNTA(A8:AH8)&gt;0),"",IF(TEXTJOIN(", ",TRUE,IF(B8="","Название",""),IF(C8="","Тип недвижимости",""),IF(D8="","Страна",""),IF(E8="","Город",""),IF(F8="","Улица",""),IF(I8="","Валюта",""),IF(OR(AA8="",AA8&lt;1),"Хотя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земли",""),IF(OR(AF8="",AF8="Нет"),"Право собственности",""),IF(OR(AG8="",AG8="Нет"),"Справка об отсутствии обременений",""),IF(OR(W8="",W8&lt;=0),"Общая стоимость",""),IF(OR(X8="",X8&lt;=0),"Количество долей",""),IF(AND(X8&lt;&gt;"",X8&lt;&gt;INT(X8)),"Количество долей должно быть целым",""))="","",TEXTJOIN(", ",TRUE,IF(B8="","Название",""),IF(C8="","Тип недвижимости",""),IF(D8="","Страна",""),IF(E8="","Город",""),IF(F8="","Улица",""),IF(I8="","Валюта",""),IF(OR(AA8="",AA8&lt;1),"Хотя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земли",""),IF(OR(AF8="",AF8="Нет"),"Право собственности",""),IF(OR(AG8="",AG8="Нет"),"Справка об отсутствии обременений",""),IF(OR(W8="",W8&lt;=0),"Общая стоимость",""),IF(OR(X8="",X8&lt;=0),"Количество долей",""),IF(AND(X8&lt;&gt;"",X8&lt;&gt;INT(X8)),"Количество долей должно быть целым",""))))</f>
        <v/>
      </c>
      <c r="AJ8" s="35">
        <f>IF(NOT(COUNTA(A8:AH8)&gt;0),"",IF(TEXTJOIN(", ",TRUE,IF(AD8="","Описание",""),IF(AND(AA8&lt;&gt;"",AA8&gt;=1,AA8&lt;5),"Фото меньше 5",""),IF(AC8="","Видео",""),IF(H8="","Кадастровый номер",""),IF(AB8="","Ссылка на фото",""))="","",TEXTJOIN(", ",TRUE,IF(AD8="","Описание",""),IF(AND(AA8&lt;&gt;"",AA8&gt;=1,AA8&lt;5),"Фото меньше 5",""),IF(AC8="","Видео",""),IF(H8="","Кадастровый номер",""),IF(AB8="","Ссылка на фото",""))))</f>
        <v/>
      </c>
      <c r="AK8" s="35">
        <f>IF(NOT(COUNTA(A8:AH8)&gt;0),"",IF(AI8="","Можно публиковать","Не хватает"))</f>
        <v/>
      </c>
    </row>
    <row r="9" ht="22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31" t="n"/>
      <c r="L9" s="31" t="n"/>
      <c r="M9" s="32" t="n"/>
      <c r="N9" s="32" t="n"/>
      <c r="O9" s="32" t="n"/>
      <c r="P9" s="32" t="n"/>
      <c r="Q9" s="32" t="n"/>
      <c r="R9" s="32" t="n"/>
      <c r="S9" s="30" t="n"/>
      <c r="T9" s="30" t="n"/>
      <c r="U9" s="30" t="n"/>
      <c r="V9" s="30" t="n"/>
      <c r="W9" s="33" t="n"/>
      <c r="X9" s="32" t="n"/>
      <c r="Y9" s="41">
        <f>IF(OR(W9="",X9="",X9&lt;=0),"",W9/X9)</f>
        <v/>
      </c>
      <c r="Z9" s="30" t="n"/>
      <c r="AA9" s="32" t="n"/>
      <c r="AB9" s="30" t="n"/>
      <c r="AC9" s="30" t="n"/>
      <c r="AD9" s="30" t="n"/>
      <c r="AE9" s="30" t="n"/>
      <c r="AF9" s="30" t="n"/>
      <c r="AG9" s="30" t="n"/>
      <c r="AH9" s="30" t="n"/>
      <c r="AI9" s="35">
        <f>IF(NOT(COUNTA(A9:AH9)&gt;0),"",IF(TEXTJOIN(", ",TRUE,IF(B9="","Название",""),IF(C9="","Тип недвижимости",""),IF(D9="","Страна",""),IF(E9="","Город",""),IF(F9="","Улица",""),IF(I9="","Валюта",""),IF(OR(AA9="",AA9&lt;1),"Хотя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земли",""),IF(OR(AF9="",AF9="Нет"),"Право собственности",""),IF(OR(AG9="",AG9="Нет"),"Справка об отсутствии обременений",""),IF(OR(W9="",W9&lt;=0),"Общая стоимость",""),IF(OR(X9="",X9&lt;=0),"Количество долей",""),IF(AND(X9&lt;&gt;"",X9&lt;&gt;INT(X9)),"Количество долей должно быть целым",""))="","",TEXTJOIN(", ",TRUE,IF(B9="","Название",""),IF(C9="","Тип недвижимости",""),IF(D9="","Страна",""),IF(E9="","Город",""),IF(F9="","Улица",""),IF(I9="","Валюта",""),IF(OR(AA9="",AA9&lt;1),"Хотя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земли",""),IF(OR(AF9="",AF9="Нет"),"Право собственности",""),IF(OR(AG9="",AG9="Нет"),"Справка об отсутствии обременений",""),IF(OR(W9="",W9&lt;=0),"Общая стоимость",""),IF(OR(X9="",X9&lt;=0),"Количество долей",""),IF(AND(X9&lt;&gt;"",X9&lt;&gt;INT(X9)),"Количество долей должно быть целым",""))))</f>
        <v/>
      </c>
      <c r="AJ9" s="35">
        <f>IF(NOT(COUNTA(A9:AH9)&gt;0),"",IF(TEXTJOIN(", ",TRUE,IF(AD9="","Описание",""),IF(AND(AA9&lt;&gt;"",AA9&gt;=1,AA9&lt;5),"Фото меньше 5",""),IF(AC9="","Видео",""),IF(H9="","Кадастровый номер",""),IF(AB9="","Ссылка на фото",""))="","",TEXTJOIN(", ",TRUE,IF(AD9="","Описание",""),IF(AND(AA9&lt;&gt;"",AA9&gt;=1,AA9&lt;5),"Фото меньше 5",""),IF(AC9="","Видео",""),IF(H9="","Кадастровый номер",""),IF(AB9="","Ссылка на фото",""))))</f>
        <v/>
      </c>
      <c r="AK9" s="35">
        <f>IF(NOT(COUNTA(A9:AH9)&gt;0),"",IF(AI9="","Можно публиковать","Не хватает"))</f>
        <v/>
      </c>
    </row>
    <row r="10" ht="22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7" t="n"/>
      <c r="L10" s="37" t="n"/>
      <c r="M10" s="38" t="n"/>
      <c r="N10" s="38" t="n"/>
      <c r="O10" s="38" t="n"/>
      <c r="P10" s="38" t="n"/>
      <c r="Q10" s="38" t="n"/>
      <c r="R10" s="38" t="n"/>
      <c r="S10" s="36" t="n"/>
      <c r="T10" s="36" t="n"/>
      <c r="U10" s="36" t="n"/>
      <c r="V10" s="36" t="n"/>
      <c r="W10" s="39" t="n"/>
      <c r="X10" s="38" t="n"/>
      <c r="Y10" s="41">
        <f>IF(OR(W10="",X10="",X10&lt;=0),"",W10/X10)</f>
        <v/>
      </c>
      <c r="Z10" s="36" t="n"/>
      <c r="AA10" s="38" t="n"/>
      <c r="AB10" s="36" t="n"/>
      <c r="AC10" s="36" t="n"/>
      <c r="AD10" s="36" t="n"/>
      <c r="AE10" s="36" t="n"/>
      <c r="AF10" s="36" t="n"/>
      <c r="AG10" s="36" t="n"/>
      <c r="AH10" s="36" t="n"/>
      <c r="AI10" s="35">
        <f>IF(NOT(COUNTA(A10:AH10)&gt;0),"",IF(TEXTJOIN(", ",TRUE,IF(B10="","Название",""),IF(C10="","Тип недвижимости",""),IF(D10="","Страна",""),IF(E10="","Город",""),IF(F10="","Улица",""),IF(I10="","Валюта",""),IF(OR(AA10="",AA10&lt;1),"Хотя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земли",""),IF(OR(AF10="",AF10="Нет"),"Право собственности",""),IF(OR(AG10="",AG10="Нет"),"Справка об отсутствии обременений",""),IF(OR(W10="",W10&lt;=0),"Общая стоимость",""),IF(OR(X10="",X10&lt;=0),"Количество долей",""),IF(AND(X10&lt;&gt;"",X10&lt;&gt;INT(X10)),"Количество долей должно быть целым",""))="","",TEXTJOIN(", ",TRUE,IF(B10="","Название",""),IF(C10="","Тип недвижимости",""),IF(D10="","Страна",""),IF(E10="","Город",""),IF(F10="","Улица",""),IF(I10="","Валюта",""),IF(OR(AA10="",AA10&lt;1),"Хотя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земли",""),IF(OR(AF10="",AF10="Нет"),"Право собственности",""),IF(OR(AG10="",AG10="Нет"),"Справка об отсутствии обременений",""),IF(OR(W10="",W10&lt;=0),"Общая стоимость",""),IF(OR(X10="",X10&lt;=0),"Количество долей",""),IF(AND(X10&lt;&gt;"",X10&lt;&gt;INT(X10)),"Количество долей должно быть целым",""))))</f>
        <v/>
      </c>
      <c r="AJ10" s="35">
        <f>IF(NOT(COUNTA(A10:AH10)&gt;0),"",IF(TEXTJOIN(", ",TRUE,IF(AD10="","Описание",""),IF(AND(AA10&lt;&gt;"",AA10&gt;=1,AA10&lt;5),"Фото меньше 5",""),IF(AC10="","Видео",""),IF(H10="","Кадастровый номер",""),IF(AB10="","Ссылка на фото",""))="","",TEXTJOIN(", ",TRUE,IF(AD10="","Описание",""),IF(AND(AA10&lt;&gt;"",AA10&gt;=1,AA10&lt;5),"Фото меньше 5",""),IF(AC10="","Видео",""),IF(H10="","Кадастровый номер",""),IF(AB10="","Ссылка на фото",""))))</f>
        <v/>
      </c>
      <c r="AK10" s="35">
        <f>IF(NOT(COUNTA(A10:AH10)&gt;0),"",IF(AI10="","Можно публиковать","Не хватает"))</f>
        <v/>
      </c>
    </row>
    <row r="11" ht="22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 t="n"/>
      <c r="K11" s="31" t="n"/>
      <c r="L11" s="31" t="n"/>
      <c r="M11" s="32" t="n"/>
      <c r="N11" s="32" t="n"/>
      <c r="O11" s="32" t="n"/>
      <c r="P11" s="32" t="n"/>
      <c r="Q11" s="32" t="n"/>
      <c r="R11" s="32" t="n"/>
      <c r="S11" s="30" t="n"/>
      <c r="T11" s="30" t="n"/>
      <c r="U11" s="30" t="n"/>
      <c r="V11" s="30" t="n"/>
      <c r="W11" s="33" t="n"/>
      <c r="X11" s="32" t="n"/>
      <c r="Y11" s="41">
        <f>IF(OR(W11="",X11="",X11&lt;=0),"",W11/X11)</f>
        <v/>
      </c>
      <c r="Z11" s="30" t="n"/>
      <c r="AA11" s="32" t="n"/>
      <c r="AB11" s="30" t="n"/>
      <c r="AC11" s="30" t="n"/>
      <c r="AD11" s="30" t="n"/>
      <c r="AE11" s="30" t="n"/>
      <c r="AF11" s="30" t="n"/>
      <c r="AG11" s="30" t="n"/>
      <c r="AH11" s="30" t="n"/>
      <c r="AI11" s="35">
        <f>IF(NOT(COUNTA(A11:AH11)&gt;0),"",IF(TEXTJOIN(", ",TRUE,IF(B11="","Название",""),IF(C11="","Тип недвижимости",""),IF(D11="","Страна",""),IF(E11="","Город",""),IF(F11="","Улица",""),IF(I11="","Валюта",""),IF(OR(AA11="",AA11&lt;1),"Хотя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земли",""),IF(OR(AF11="",AF11="Нет"),"Право собственности",""),IF(OR(AG11="",AG11="Нет"),"Справка об отсутствии обременений",""),IF(OR(W11="",W11&lt;=0),"Общая стоимость",""),IF(OR(X11="",X11&lt;=0),"Количество долей",""),IF(AND(X11&lt;&gt;"",X11&lt;&gt;INT(X11)),"Количество долей должно быть целым",""))="","",TEXTJOIN(", ",TRUE,IF(B11="","Название",""),IF(C11="","Тип недвижимости",""),IF(D11="","Страна",""),IF(E11="","Город",""),IF(F11="","Улица",""),IF(I11="","Валюта",""),IF(OR(AA11="",AA11&lt;1),"Хотя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земли",""),IF(OR(AF11="",AF11="Нет"),"Право собственности",""),IF(OR(AG11="",AG11="Нет"),"Справка об отсутствии обременений",""),IF(OR(W11="",W11&lt;=0),"Общая стоимость",""),IF(OR(X11="",X11&lt;=0),"Количество долей",""),IF(AND(X11&lt;&gt;"",X11&lt;&gt;INT(X11)),"Количество долей должно быть целым",""))))</f>
        <v/>
      </c>
      <c r="AJ11" s="35">
        <f>IF(NOT(COUNTA(A11:AH11)&gt;0),"",IF(TEXTJOIN(", ",TRUE,IF(AD11="","Описание",""),IF(AND(AA11&lt;&gt;"",AA11&gt;=1,AA11&lt;5),"Фото меньше 5",""),IF(AC11="","Видео",""),IF(H11="","Кадастровый номер",""),IF(AB11="","Ссылка на фото",""))="","",TEXTJOIN(", ",TRUE,IF(AD11="","Описание",""),IF(AND(AA11&lt;&gt;"",AA11&gt;=1,AA11&lt;5),"Фото меньше 5",""),IF(AC11="","Видео",""),IF(H11="","Кадастровый номер",""),IF(AB11="","Ссылка на фото",""))))</f>
        <v/>
      </c>
      <c r="AK11" s="35">
        <f>IF(NOT(COUNTA(A11:AH11)&gt;0),"",IF(AI11="","Можно публиковать","Не хватает"))</f>
        <v/>
      </c>
    </row>
    <row r="12" ht="22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7" t="n"/>
      <c r="K12" s="37" t="n"/>
      <c r="L12" s="37" t="n"/>
      <c r="M12" s="38" t="n"/>
      <c r="N12" s="38" t="n"/>
      <c r="O12" s="38" t="n"/>
      <c r="P12" s="38" t="n"/>
      <c r="Q12" s="38" t="n"/>
      <c r="R12" s="38" t="n"/>
      <c r="S12" s="36" t="n"/>
      <c r="T12" s="36" t="n"/>
      <c r="U12" s="36" t="n"/>
      <c r="V12" s="36" t="n"/>
      <c r="W12" s="39" t="n"/>
      <c r="X12" s="38" t="n"/>
      <c r="Y12" s="41">
        <f>IF(OR(W12="",X12="",X12&lt;=0),"",W12/X12)</f>
        <v/>
      </c>
      <c r="Z12" s="36" t="n"/>
      <c r="AA12" s="38" t="n"/>
      <c r="AB12" s="36" t="n"/>
      <c r="AC12" s="36" t="n"/>
      <c r="AD12" s="36" t="n"/>
      <c r="AE12" s="36" t="n"/>
      <c r="AF12" s="36" t="n"/>
      <c r="AG12" s="36" t="n"/>
      <c r="AH12" s="36" t="n"/>
      <c r="AI12" s="35">
        <f>IF(NOT(COUNTA(A12:AH12)&gt;0),"",IF(TEXTJOIN(", ",TRUE,IF(B12="","Название",""),IF(C12="","Тип недвижимости",""),IF(D12="","Страна",""),IF(E12="","Город",""),IF(F12="","Улица",""),IF(I12="","Валюта",""),IF(OR(AA12="",AA12&lt;1),"Хотя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земли",""),IF(OR(AF12="",AF12="Нет"),"Право собственности",""),IF(OR(AG12="",AG12="Нет"),"Справка об отсутствии обременений",""),IF(OR(W12="",W12&lt;=0),"Общая стоимость",""),IF(OR(X12="",X12&lt;=0),"Количество долей",""),IF(AND(X12&lt;&gt;"",X12&lt;&gt;INT(X12)),"Количество долей должно быть целым",""))="","",TEXTJOIN(", ",TRUE,IF(B12="","Название",""),IF(C12="","Тип недвижимости",""),IF(D12="","Страна",""),IF(E12="","Город",""),IF(F12="","Улица",""),IF(I12="","Валюта",""),IF(OR(AA12="",AA12&lt;1),"Хотя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земли",""),IF(OR(AF12="",AF12="Нет"),"Право собственности",""),IF(OR(AG12="",AG12="Нет"),"Справка об отсутствии обременений",""),IF(OR(W12="",W12&lt;=0),"Общая стоимость",""),IF(OR(X12="",X12&lt;=0),"Количество долей",""),IF(AND(X12&lt;&gt;"",X12&lt;&gt;INT(X12)),"Количество долей должно быть целым",""))))</f>
        <v/>
      </c>
      <c r="AJ12" s="35">
        <f>IF(NOT(COUNTA(A12:AH12)&gt;0),"",IF(TEXTJOIN(", ",TRUE,IF(AD12="","Описание",""),IF(AND(AA12&lt;&gt;"",AA12&gt;=1,AA12&lt;5),"Фото меньше 5",""),IF(AC12="","Видео",""),IF(H12="","Кадастровый номер",""),IF(AB12="","Ссылка на фото",""))="","",TEXTJOIN(", ",TRUE,IF(AD12="","Описание",""),IF(AND(AA12&lt;&gt;"",AA12&gt;=1,AA12&lt;5),"Фото меньше 5",""),IF(AC12="","Видео",""),IF(H12="","Кадастровый номер",""),IF(AB12="","Ссылка на фото",""))))</f>
        <v/>
      </c>
      <c r="AK12" s="35">
        <f>IF(NOT(COUNTA(A12:AH12)&gt;0),"",IF(AI12="","Можно публиковать","Не хватает"))</f>
        <v/>
      </c>
    </row>
    <row r="13" ht="22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31" t="n"/>
      <c r="L13" s="31" t="n"/>
      <c r="M13" s="32" t="n"/>
      <c r="N13" s="32" t="n"/>
      <c r="O13" s="32" t="n"/>
      <c r="P13" s="32" t="n"/>
      <c r="Q13" s="32" t="n"/>
      <c r="R13" s="32" t="n"/>
      <c r="S13" s="30" t="n"/>
      <c r="T13" s="30" t="n"/>
      <c r="U13" s="30" t="n"/>
      <c r="V13" s="30" t="n"/>
      <c r="W13" s="33" t="n"/>
      <c r="X13" s="32" t="n"/>
      <c r="Y13" s="41">
        <f>IF(OR(W13="",X13="",X13&lt;=0),"",W13/X13)</f>
        <v/>
      </c>
      <c r="Z13" s="30" t="n"/>
      <c r="AA13" s="32" t="n"/>
      <c r="AB13" s="30" t="n"/>
      <c r="AC13" s="30" t="n"/>
      <c r="AD13" s="30" t="n"/>
      <c r="AE13" s="30" t="n"/>
      <c r="AF13" s="30" t="n"/>
      <c r="AG13" s="30" t="n"/>
      <c r="AH13" s="30" t="n"/>
      <c r="AI13" s="35">
        <f>IF(NOT(COUNTA(A13:AH13)&gt;0),"",IF(TEXTJOIN(", ",TRUE,IF(B13="","Название",""),IF(C13="","Тип недвижимости",""),IF(D13="","Страна",""),IF(E13="","Город",""),IF(F13="","Улица",""),IF(I13="","Валюта",""),IF(OR(AA13="",AA13&lt;1),"Хотя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земли",""),IF(OR(AF13="",AF13="Нет"),"Право собственности",""),IF(OR(AG13="",AG13="Нет"),"Справка об отсутствии обременений",""),IF(OR(W13="",W13&lt;=0),"Общая стоимость",""),IF(OR(X13="",X13&lt;=0),"Количество долей",""),IF(AND(X13&lt;&gt;"",X13&lt;&gt;INT(X13)),"Количество долей должно быть целым",""))="","",TEXTJOIN(", ",TRUE,IF(B13="","Название",""),IF(C13="","Тип недвижимости",""),IF(D13="","Страна",""),IF(E13="","Город",""),IF(F13="","Улица",""),IF(I13="","Валюта",""),IF(OR(AA13="",AA13&lt;1),"Хотя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земли",""),IF(OR(AF13="",AF13="Нет"),"Право собственности",""),IF(OR(AG13="",AG13="Нет"),"Справка об отсутствии обременений",""),IF(OR(W13="",W13&lt;=0),"Общая стоимость",""),IF(OR(X13="",X13&lt;=0),"Количество долей",""),IF(AND(X13&lt;&gt;"",X13&lt;&gt;INT(X13)),"Количество долей должно быть целым",""))))</f>
        <v/>
      </c>
      <c r="AJ13" s="35">
        <f>IF(NOT(COUNTA(A13:AH13)&gt;0),"",IF(TEXTJOIN(", ",TRUE,IF(AD13="","Описание",""),IF(AND(AA13&lt;&gt;"",AA13&gt;=1,AA13&lt;5),"Фото меньше 5",""),IF(AC13="","Видео",""),IF(H13="","Кадастровый номер",""),IF(AB13="","Ссылка на фото",""))="","",TEXTJOIN(", ",TRUE,IF(AD13="","Описание",""),IF(AND(AA13&lt;&gt;"",AA13&gt;=1,AA13&lt;5),"Фото меньше 5",""),IF(AC13="","Видео",""),IF(H13="","Кадастровый номер",""),IF(AB13="","Ссылка на фото",""))))</f>
        <v/>
      </c>
      <c r="AK13" s="35">
        <f>IF(NOT(COUNTA(A13:AH13)&gt;0),"",IF(AI13="","Можно публиковать","Не хватает"))</f>
        <v/>
      </c>
    </row>
    <row r="14" ht="22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7" t="n"/>
      <c r="K14" s="37" t="n"/>
      <c r="L14" s="37" t="n"/>
      <c r="M14" s="38" t="n"/>
      <c r="N14" s="38" t="n"/>
      <c r="O14" s="38" t="n"/>
      <c r="P14" s="38" t="n"/>
      <c r="Q14" s="38" t="n"/>
      <c r="R14" s="38" t="n"/>
      <c r="S14" s="36" t="n"/>
      <c r="T14" s="36" t="n"/>
      <c r="U14" s="36" t="n"/>
      <c r="V14" s="36" t="n"/>
      <c r="W14" s="39" t="n"/>
      <c r="X14" s="38" t="n"/>
      <c r="Y14" s="41">
        <f>IF(OR(W14="",X14="",X14&lt;=0),"",W14/X14)</f>
        <v/>
      </c>
      <c r="Z14" s="36" t="n"/>
      <c r="AA14" s="38" t="n"/>
      <c r="AB14" s="36" t="n"/>
      <c r="AC14" s="36" t="n"/>
      <c r="AD14" s="36" t="n"/>
      <c r="AE14" s="36" t="n"/>
      <c r="AF14" s="36" t="n"/>
      <c r="AG14" s="36" t="n"/>
      <c r="AH14" s="36" t="n"/>
      <c r="AI14" s="35">
        <f>IF(NOT(COUNTA(A14:AH14)&gt;0),"",IF(TEXTJOIN(", ",TRUE,IF(B14="","Название",""),IF(C14="","Тип недвижимости",""),IF(D14="","Страна",""),IF(E14="","Город",""),IF(F14="","Улица",""),IF(I14="","Валюта",""),IF(OR(AA14="",AA14&lt;1),"Хотя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земли",""),IF(OR(AF14="",AF14="Нет"),"Право собственности",""),IF(OR(AG14="",AG14="Нет"),"Справка об отсутствии обременений",""),IF(OR(W14="",W14&lt;=0),"Общая стоимость",""),IF(OR(X14="",X14&lt;=0),"Количество долей",""),IF(AND(X14&lt;&gt;"",X14&lt;&gt;INT(X14)),"Количество долей должно быть целым",""))="","",TEXTJOIN(", ",TRUE,IF(B14="","Название",""),IF(C14="","Тип недвижимости",""),IF(D14="","Страна",""),IF(E14="","Город",""),IF(F14="","Улица",""),IF(I14="","Валюта",""),IF(OR(AA14="",AA14&lt;1),"Хотя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земли",""),IF(OR(AF14="",AF14="Нет"),"Право собственности",""),IF(OR(AG14="",AG14="Нет"),"Справка об отсутствии обременений",""),IF(OR(W14="",W14&lt;=0),"Общая стоимость",""),IF(OR(X14="",X14&lt;=0),"Количество долей",""),IF(AND(X14&lt;&gt;"",X14&lt;&gt;INT(X14)),"Количество долей должно быть целым",""))))</f>
        <v/>
      </c>
      <c r="AJ14" s="35">
        <f>IF(NOT(COUNTA(A14:AH14)&gt;0),"",IF(TEXTJOIN(", ",TRUE,IF(AD14="","Описание",""),IF(AND(AA14&lt;&gt;"",AA14&gt;=1,AA14&lt;5),"Фото меньше 5",""),IF(AC14="","Видео",""),IF(H14="","Кадастровый номер",""),IF(AB14="","Ссылка на фото",""))="","",TEXTJOIN(", ",TRUE,IF(AD14="","Описание",""),IF(AND(AA14&lt;&gt;"",AA14&gt;=1,AA14&lt;5),"Фото меньше 5",""),IF(AC14="","Видео",""),IF(H14="","Кадастровый номер",""),IF(AB14="","Ссылка на фото",""))))</f>
        <v/>
      </c>
      <c r="AK14" s="35">
        <f>IF(NOT(COUNTA(A14:AH14)&gt;0),"",IF(AI14="","Можно публиковать","Не хватает"))</f>
        <v/>
      </c>
    </row>
    <row r="15" ht="22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 t="n"/>
      <c r="K15" s="31" t="n"/>
      <c r="L15" s="31" t="n"/>
      <c r="M15" s="32" t="n"/>
      <c r="N15" s="32" t="n"/>
      <c r="O15" s="32" t="n"/>
      <c r="P15" s="32" t="n"/>
      <c r="Q15" s="32" t="n"/>
      <c r="R15" s="32" t="n"/>
      <c r="S15" s="30" t="n"/>
      <c r="T15" s="30" t="n"/>
      <c r="U15" s="30" t="n"/>
      <c r="V15" s="30" t="n"/>
      <c r="W15" s="33" t="n"/>
      <c r="X15" s="32" t="n"/>
      <c r="Y15" s="41">
        <f>IF(OR(W15="",X15="",X15&lt;=0),"",W15/X15)</f>
        <v/>
      </c>
      <c r="Z15" s="30" t="n"/>
      <c r="AA15" s="32" t="n"/>
      <c r="AB15" s="30" t="n"/>
      <c r="AC15" s="30" t="n"/>
      <c r="AD15" s="30" t="n"/>
      <c r="AE15" s="30" t="n"/>
      <c r="AF15" s="30" t="n"/>
      <c r="AG15" s="30" t="n"/>
      <c r="AH15" s="30" t="n"/>
      <c r="AI15" s="35">
        <f>IF(NOT(COUNTA(A15:AH15)&gt;0),"",IF(TEXTJOIN(", ",TRUE,IF(B15="","Название",""),IF(C15="","Тип недвижимости",""),IF(D15="","Страна",""),IF(E15="","Город",""),IF(F15="","Улица",""),IF(I15="","Валюта",""),IF(OR(AA15="",AA15&lt;1),"Хотя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земли",""),IF(OR(AF15="",AF15="Нет"),"Право собственности",""),IF(OR(AG15="",AG15="Нет"),"Справка об отсутствии обременений",""),IF(OR(W15="",W15&lt;=0),"Общая стоимость",""),IF(OR(X15="",X15&lt;=0),"Количество долей",""),IF(AND(X15&lt;&gt;"",X15&lt;&gt;INT(X15)),"Количество долей должно быть целым",""))="","",TEXTJOIN(", ",TRUE,IF(B15="","Название",""),IF(C15="","Тип недвижимости",""),IF(D15="","Страна",""),IF(E15="","Город",""),IF(F15="","Улица",""),IF(I15="","Валюта",""),IF(OR(AA15="",AA15&lt;1),"Хотя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земли",""),IF(OR(AF15="",AF15="Нет"),"Право собственности",""),IF(OR(AG15="",AG15="Нет"),"Справка об отсутствии обременений",""),IF(OR(W15="",W15&lt;=0),"Общая стоимость",""),IF(OR(X15="",X15&lt;=0),"Количество долей",""),IF(AND(X15&lt;&gt;"",X15&lt;&gt;INT(X15)),"Количество долей должно быть целым",""))))</f>
        <v/>
      </c>
      <c r="AJ15" s="35">
        <f>IF(NOT(COUNTA(A15:AH15)&gt;0),"",IF(TEXTJOIN(", ",TRUE,IF(AD15="","Описание",""),IF(AND(AA15&lt;&gt;"",AA15&gt;=1,AA15&lt;5),"Фото меньше 5",""),IF(AC15="","Видео",""),IF(H15="","Кадастровый номер",""),IF(AB15="","Ссылка на фото",""))="","",TEXTJOIN(", ",TRUE,IF(AD15="","Описание",""),IF(AND(AA15&lt;&gt;"",AA15&gt;=1,AA15&lt;5),"Фото меньше 5",""),IF(AC15="","Видео",""),IF(H15="","Кадастровый номер",""),IF(AB15="","Ссылка на фото",""))))</f>
        <v/>
      </c>
      <c r="AK15" s="35">
        <f>IF(NOT(COUNTA(A15:AH15)&gt;0),"",IF(AI15="","Можно публиковать","Не хватает"))</f>
        <v/>
      </c>
    </row>
    <row r="16" ht="22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7" t="n"/>
      <c r="K16" s="37" t="n"/>
      <c r="L16" s="37" t="n"/>
      <c r="M16" s="38" t="n"/>
      <c r="N16" s="38" t="n"/>
      <c r="O16" s="38" t="n"/>
      <c r="P16" s="38" t="n"/>
      <c r="Q16" s="38" t="n"/>
      <c r="R16" s="38" t="n"/>
      <c r="S16" s="36" t="n"/>
      <c r="T16" s="36" t="n"/>
      <c r="U16" s="36" t="n"/>
      <c r="V16" s="36" t="n"/>
      <c r="W16" s="39" t="n"/>
      <c r="X16" s="38" t="n"/>
      <c r="Y16" s="41">
        <f>IF(OR(W16="",X16="",X16&lt;=0),"",W16/X16)</f>
        <v/>
      </c>
      <c r="Z16" s="36" t="n"/>
      <c r="AA16" s="38" t="n"/>
      <c r="AB16" s="36" t="n"/>
      <c r="AC16" s="36" t="n"/>
      <c r="AD16" s="36" t="n"/>
      <c r="AE16" s="36" t="n"/>
      <c r="AF16" s="36" t="n"/>
      <c r="AG16" s="36" t="n"/>
      <c r="AH16" s="36" t="n"/>
      <c r="AI16" s="35">
        <f>IF(NOT(COUNTA(A16:AH16)&gt;0),"",IF(TEXTJOIN(", ",TRUE,IF(B16="","Название",""),IF(C16="","Тип недвижимости",""),IF(D16="","Страна",""),IF(E16="","Город",""),IF(F16="","Улица",""),IF(I16="","Валюта",""),IF(OR(AA16="",AA16&lt;1),"Хотя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земли",""),IF(OR(AF16="",AF16="Нет"),"Право собственности",""),IF(OR(AG16="",AG16="Нет"),"Справка об отсутствии обременений",""),IF(OR(W16="",W16&lt;=0),"Общая стоимость",""),IF(OR(X16="",X16&lt;=0),"Количество долей",""),IF(AND(X16&lt;&gt;"",X16&lt;&gt;INT(X16)),"Количество долей должно быть целым",""))="","",TEXTJOIN(", ",TRUE,IF(B16="","Название",""),IF(C16="","Тип недвижимости",""),IF(D16="","Страна",""),IF(E16="","Город",""),IF(F16="","Улица",""),IF(I16="","Валюта",""),IF(OR(AA16="",AA16&lt;1),"Хотя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земли",""),IF(OR(AF16="",AF16="Нет"),"Право собственности",""),IF(OR(AG16="",AG16="Нет"),"Справка об отсутствии обременений",""),IF(OR(W16="",W16&lt;=0),"Общая стоимость",""),IF(OR(X16="",X16&lt;=0),"Количество долей",""),IF(AND(X16&lt;&gt;"",X16&lt;&gt;INT(X16)),"Количество долей должно быть целым",""))))</f>
        <v/>
      </c>
      <c r="AJ16" s="35">
        <f>IF(NOT(COUNTA(A16:AH16)&gt;0),"",IF(TEXTJOIN(", ",TRUE,IF(AD16="","Описание",""),IF(AND(AA16&lt;&gt;"",AA16&gt;=1,AA16&lt;5),"Фото меньше 5",""),IF(AC16="","Видео",""),IF(H16="","Кадастровый номер",""),IF(AB16="","Ссылка на фото",""))="","",TEXTJOIN(", ",TRUE,IF(AD16="","Описание",""),IF(AND(AA16&lt;&gt;"",AA16&gt;=1,AA16&lt;5),"Фото меньше 5",""),IF(AC16="","Видео",""),IF(H16="","Кадастровый номер",""),IF(AB16="","Ссылка на фото",""))))</f>
        <v/>
      </c>
      <c r="AK16" s="35">
        <f>IF(NOT(COUNTA(A16:AH16)&gt;0),"",IF(AI16="","Можно публиковать","Не хватает"))</f>
        <v/>
      </c>
    </row>
    <row r="17" ht="22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 t="n"/>
      <c r="K17" s="31" t="n"/>
      <c r="L17" s="31" t="n"/>
      <c r="M17" s="32" t="n"/>
      <c r="N17" s="32" t="n"/>
      <c r="O17" s="32" t="n"/>
      <c r="P17" s="32" t="n"/>
      <c r="Q17" s="32" t="n"/>
      <c r="R17" s="32" t="n"/>
      <c r="S17" s="30" t="n"/>
      <c r="T17" s="30" t="n"/>
      <c r="U17" s="30" t="n"/>
      <c r="V17" s="30" t="n"/>
      <c r="W17" s="33" t="n"/>
      <c r="X17" s="32" t="n"/>
      <c r="Y17" s="41">
        <f>IF(OR(W17="",X17="",X17&lt;=0),"",W17/X17)</f>
        <v/>
      </c>
      <c r="Z17" s="30" t="n"/>
      <c r="AA17" s="32" t="n"/>
      <c r="AB17" s="30" t="n"/>
      <c r="AC17" s="30" t="n"/>
      <c r="AD17" s="30" t="n"/>
      <c r="AE17" s="30" t="n"/>
      <c r="AF17" s="30" t="n"/>
      <c r="AG17" s="30" t="n"/>
      <c r="AH17" s="30" t="n"/>
      <c r="AI17" s="35">
        <f>IF(NOT(COUNTA(A17:AH17)&gt;0),"",IF(TEXTJOIN(", ",TRUE,IF(B17="","Название",""),IF(C17="","Тип недвижимости",""),IF(D17="","Страна",""),IF(E17="","Город",""),IF(F17="","Улица",""),IF(I17="","Валюта",""),IF(OR(AA17="",AA17&lt;1),"Хотя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земли",""),IF(OR(AF17="",AF17="Нет"),"Право собственности",""),IF(OR(AG17="",AG17="Нет"),"Справка об отсутствии обременений",""),IF(OR(W17="",W17&lt;=0),"Общая стоимость",""),IF(OR(X17="",X17&lt;=0),"Количество долей",""),IF(AND(X17&lt;&gt;"",X17&lt;&gt;INT(X17)),"Количество долей должно быть целым",""))="","",TEXTJOIN(", ",TRUE,IF(B17="","Название",""),IF(C17="","Тип недвижимости",""),IF(D17="","Страна",""),IF(E17="","Город",""),IF(F17="","Улица",""),IF(I17="","Валюта",""),IF(OR(AA17="",AA17&lt;1),"Хотя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земли",""),IF(OR(AF17="",AF17="Нет"),"Право собственности",""),IF(OR(AG17="",AG17="Нет"),"Справка об отсутствии обременений",""),IF(OR(W17="",W17&lt;=0),"Общая стоимость",""),IF(OR(X17="",X17&lt;=0),"Количество долей",""),IF(AND(X17&lt;&gt;"",X17&lt;&gt;INT(X17)),"Количество долей должно быть целым",""))))</f>
        <v/>
      </c>
      <c r="AJ17" s="35">
        <f>IF(NOT(COUNTA(A17:AH17)&gt;0),"",IF(TEXTJOIN(", ",TRUE,IF(AD17="","Описание",""),IF(AND(AA17&lt;&gt;"",AA17&gt;=1,AA17&lt;5),"Фото меньше 5",""),IF(AC17="","Видео",""),IF(H17="","Кадастровый номер",""),IF(AB17="","Ссылка на фото",""))="","",TEXTJOIN(", ",TRUE,IF(AD17="","Описание",""),IF(AND(AA17&lt;&gt;"",AA17&gt;=1,AA17&lt;5),"Фото меньше 5",""),IF(AC17="","Видео",""),IF(H17="","Кадастровый номер",""),IF(AB17="","Ссылка на фото",""))))</f>
        <v/>
      </c>
      <c r="AK17" s="35">
        <f>IF(NOT(COUNTA(A17:AH17)&gt;0),"",IF(AI17="","Можно публиковать","Не хватает"))</f>
        <v/>
      </c>
    </row>
    <row r="18" ht="22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7" t="n"/>
      <c r="K18" s="37" t="n"/>
      <c r="L18" s="37" t="n"/>
      <c r="M18" s="38" t="n"/>
      <c r="N18" s="38" t="n"/>
      <c r="O18" s="38" t="n"/>
      <c r="P18" s="38" t="n"/>
      <c r="Q18" s="38" t="n"/>
      <c r="R18" s="38" t="n"/>
      <c r="S18" s="36" t="n"/>
      <c r="T18" s="36" t="n"/>
      <c r="U18" s="36" t="n"/>
      <c r="V18" s="36" t="n"/>
      <c r="W18" s="39" t="n"/>
      <c r="X18" s="38" t="n"/>
      <c r="Y18" s="41">
        <f>IF(OR(W18="",X18="",X18&lt;=0),"",W18/X18)</f>
        <v/>
      </c>
      <c r="Z18" s="36" t="n"/>
      <c r="AA18" s="38" t="n"/>
      <c r="AB18" s="36" t="n"/>
      <c r="AC18" s="36" t="n"/>
      <c r="AD18" s="36" t="n"/>
      <c r="AE18" s="36" t="n"/>
      <c r="AF18" s="36" t="n"/>
      <c r="AG18" s="36" t="n"/>
      <c r="AH18" s="36" t="n"/>
      <c r="AI18" s="35">
        <f>IF(NOT(COUNTA(A18:AH18)&gt;0),"",IF(TEXTJOIN(", ",TRUE,IF(B18="","Название",""),IF(C18="","Тип недвижимости",""),IF(D18="","Страна",""),IF(E18="","Город",""),IF(F18="","Улица",""),IF(I18="","Валюта",""),IF(OR(AA18="",AA18&lt;1),"Хотя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земли",""),IF(OR(AF18="",AF18="Нет"),"Право собственности",""),IF(OR(AG18="",AG18="Нет"),"Справка об отсутствии обременений",""),IF(OR(W18="",W18&lt;=0),"Общая стоимость",""),IF(OR(X18="",X18&lt;=0),"Количество долей",""),IF(AND(X18&lt;&gt;"",X18&lt;&gt;INT(X18)),"Количество долей должно быть целым",""))="","",TEXTJOIN(", ",TRUE,IF(B18="","Название",""),IF(C18="","Тип недвижимости",""),IF(D18="","Страна",""),IF(E18="","Город",""),IF(F18="","Улица",""),IF(I18="","Валюта",""),IF(OR(AA18="",AA18&lt;1),"Хотя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земли",""),IF(OR(AF18="",AF18="Нет"),"Право собственности",""),IF(OR(AG18="",AG18="Нет"),"Справка об отсутствии обременений",""),IF(OR(W18="",W18&lt;=0),"Общая стоимость",""),IF(OR(X18="",X18&lt;=0),"Количество долей",""),IF(AND(X18&lt;&gt;"",X18&lt;&gt;INT(X18)),"Количество долей должно быть целым",""))))</f>
        <v/>
      </c>
      <c r="AJ18" s="35">
        <f>IF(NOT(COUNTA(A18:AH18)&gt;0),"",IF(TEXTJOIN(", ",TRUE,IF(AD18="","Описание",""),IF(AND(AA18&lt;&gt;"",AA18&gt;=1,AA18&lt;5),"Фото меньше 5",""),IF(AC18="","Видео",""),IF(H18="","Кадастровый номер",""),IF(AB18="","Ссылка на фото",""))="","",TEXTJOIN(", ",TRUE,IF(AD18="","Описание",""),IF(AND(AA18&lt;&gt;"",AA18&gt;=1,AA18&lt;5),"Фото меньше 5",""),IF(AC18="","Видео",""),IF(H18="","Кадастровый номер",""),IF(AB18="","Ссылка на фото",""))))</f>
        <v/>
      </c>
      <c r="AK18" s="35">
        <f>IF(NOT(COUNTA(A18:AH18)&gt;0),"",IF(AI18="","Можно публиковать","Не хватает"))</f>
        <v/>
      </c>
    </row>
    <row r="19" ht="22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  <c r="K19" s="31" t="n"/>
      <c r="L19" s="31" t="n"/>
      <c r="M19" s="32" t="n"/>
      <c r="N19" s="32" t="n"/>
      <c r="O19" s="32" t="n"/>
      <c r="P19" s="32" t="n"/>
      <c r="Q19" s="32" t="n"/>
      <c r="R19" s="32" t="n"/>
      <c r="S19" s="30" t="n"/>
      <c r="T19" s="30" t="n"/>
      <c r="U19" s="30" t="n"/>
      <c r="V19" s="30" t="n"/>
      <c r="W19" s="33" t="n"/>
      <c r="X19" s="32" t="n"/>
      <c r="Y19" s="41">
        <f>IF(OR(W19="",X19="",X19&lt;=0),"",W19/X19)</f>
        <v/>
      </c>
      <c r="Z19" s="30" t="n"/>
      <c r="AA19" s="32" t="n"/>
      <c r="AB19" s="30" t="n"/>
      <c r="AC19" s="30" t="n"/>
      <c r="AD19" s="30" t="n"/>
      <c r="AE19" s="30" t="n"/>
      <c r="AF19" s="30" t="n"/>
      <c r="AG19" s="30" t="n"/>
      <c r="AH19" s="30" t="n"/>
      <c r="AI19" s="35">
        <f>IF(NOT(COUNTA(A19:AH19)&gt;0),"",IF(TEXTJOIN(", ",TRUE,IF(B19="","Название",""),IF(C19="","Тип недвижимости",""),IF(D19="","Страна",""),IF(E19="","Город",""),IF(F19="","Улица",""),IF(I19="","Валюта",""),IF(OR(AA19="",AA19&lt;1),"Хотя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земли",""),IF(OR(AF19="",AF19="Нет"),"Право собственности",""),IF(OR(AG19="",AG19="Нет"),"Справка об отсутствии обременений",""),IF(OR(W19="",W19&lt;=0),"Общая стоимость",""),IF(OR(X19="",X19&lt;=0),"Количество долей",""),IF(AND(X19&lt;&gt;"",X19&lt;&gt;INT(X19)),"Количество долей должно быть целым",""))="","",TEXTJOIN(", ",TRUE,IF(B19="","Название",""),IF(C19="","Тип недвижимости",""),IF(D19="","Страна",""),IF(E19="","Город",""),IF(F19="","Улица",""),IF(I19="","Валюта",""),IF(OR(AA19="",AA19&lt;1),"Хотя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земли",""),IF(OR(AF19="",AF19="Нет"),"Право собственности",""),IF(OR(AG19="",AG19="Нет"),"Справка об отсутствии обременений",""),IF(OR(W19="",W19&lt;=0),"Общая стоимость",""),IF(OR(X19="",X19&lt;=0),"Количество долей",""),IF(AND(X19&lt;&gt;"",X19&lt;&gt;INT(X19)),"Количество долей должно быть целым",""))))</f>
        <v/>
      </c>
      <c r="AJ19" s="35">
        <f>IF(NOT(COUNTA(A19:AH19)&gt;0),"",IF(TEXTJOIN(", ",TRUE,IF(AD19="","Описание",""),IF(AND(AA19&lt;&gt;"",AA19&gt;=1,AA19&lt;5),"Фото меньше 5",""),IF(AC19="","Видео",""),IF(H19="","Кадастровый номер",""),IF(AB19="","Ссылка на фото",""))="","",TEXTJOIN(", ",TRUE,IF(AD19="","Описание",""),IF(AND(AA19&lt;&gt;"",AA19&gt;=1,AA19&lt;5),"Фото меньше 5",""),IF(AC19="","Видео",""),IF(H19="","Кадастровый номер",""),IF(AB19="","Ссылка на фото",""))))</f>
        <v/>
      </c>
      <c r="AK19" s="35">
        <f>IF(NOT(COUNTA(A19:AH19)&gt;0),"",IF(AI19="","Можно публиковать","Не хватает"))</f>
        <v/>
      </c>
    </row>
    <row r="20" ht="22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7" t="n"/>
      <c r="K20" s="37" t="n"/>
      <c r="L20" s="37" t="n"/>
      <c r="M20" s="38" t="n"/>
      <c r="N20" s="38" t="n"/>
      <c r="O20" s="38" t="n"/>
      <c r="P20" s="38" t="n"/>
      <c r="Q20" s="38" t="n"/>
      <c r="R20" s="38" t="n"/>
      <c r="S20" s="36" t="n"/>
      <c r="T20" s="36" t="n"/>
      <c r="U20" s="36" t="n"/>
      <c r="V20" s="36" t="n"/>
      <c r="W20" s="39" t="n"/>
      <c r="X20" s="38" t="n"/>
      <c r="Y20" s="41">
        <f>IF(OR(W20="",X20="",X20&lt;=0),"",W20/X20)</f>
        <v/>
      </c>
      <c r="Z20" s="36" t="n"/>
      <c r="AA20" s="38" t="n"/>
      <c r="AB20" s="36" t="n"/>
      <c r="AC20" s="36" t="n"/>
      <c r="AD20" s="36" t="n"/>
      <c r="AE20" s="36" t="n"/>
      <c r="AF20" s="36" t="n"/>
      <c r="AG20" s="36" t="n"/>
      <c r="AH20" s="36" t="n"/>
      <c r="AI20" s="35">
        <f>IF(NOT(COUNTA(A20:AH20)&gt;0),"",IF(TEXTJOIN(", ",TRUE,IF(B20="","Название",""),IF(C20="","Тип недвижимости",""),IF(D20="","Страна",""),IF(E20="","Город",""),IF(F20="","Улица",""),IF(I20="","Валюта",""),IF(OR(AA20="",AA20&lt;1),"Хотя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земли",""),IF(OR(AF20="",AF20="Нет"),"Право собственности",""),IF(OR(AG20="",AG20="Нет"),"Справка об отсутствии обременений",""),IF(OR(W20="",W20&lt;=0),"Общая стоимость",""),IF(OR(X20="",X20&lt;=0),"Количество долей",""),IF(AND(X20&lt;&gt;"",X20&lt;&gt;INT(X20)),"Количество долей должно быть целым",""))="","",TEXTJOIN(", ",TRUE,IF(B20="","Название",""),IF(C20="","Тип недвижимости",""),IF(D20="","Страна",""),IF(E20="","Город",""),IF(F20="","Улица",""),IF(I20="","Валюта",""),IF(OR(AA20="",AA20&lt;1),"Хотя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земли",""),IF(OR(AF20="",AF20="Нет"),"Право собственности",""),IF(OR(AG20="",AG20="Нет"),"Справка об отсутствии обременений",""),IF(OR(W20="",W20&lt;=0),"Общая стоимость",""),IF(OR(X20="",X20&lt;=0),"Количество долей",""),IF(AND(X20&lt;&gt;"",X20&lt;&gt;INT(X20)),"Количество долей должно быть целым",""))))</f>
        <v/>
      </c>
      <c r="AJ20" s="35">
        <f>IF(NOT(COUNTA(A20:AH20)&gt;0),"",IF(TEXTJOIN(", ",TRUE,IF(AD20="","Описание",""),IF(AND(AA20&lt;&gt;"",AA20&gt;=1,AA20&lt;5),"Фото меньше 5",""),IF(AC20="","Видео",""),IF(H20="","Кадастровый номер",""),IF(AB20="","Ссылка на фото",""))="","",TEXTJOIN(", ",TRUE,IF(AD20="","Описание",""),IF(AND(AA20&lt;&gt;"",AA20&gt;=1,AA20&lt;5),"Фото меньше 5",""),IF(AC20="","Видео",""),IF(H20="","Кадастровый номер",""),IF(AB20="","Ссылка на фото",""))))</f>
        <v/>
      </c>
      <c r="AK20" s="35">
        <f>IF(NOT(COUNTA(A20:AH20)&gt;0),"",IF(AI20="","Можно публиковать","Не хватает"))</f>
        <v/>
      </c>
    </row>
    <row r="21" ht="2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 t="n"/>
      <c r="K21" s="31" t="n"/>
      <c r="L21" s="31" t="n"/>
      <c r="M21" s="32" t="n"/>
      <c r="N21" s="32" t="n"/>
      <c r="O21" s="32" t="n"/>
      <c r="P21" s="32" t="n"/>
      <c r="Q21" s="32" t="n"/>
      <c r="R21" s="32" t="n"/>
      <c r="S21" s="30" t="n"/>
      <c r="T21" s="30" t="n"/>
      <c r="U21" s="30" t="n"/>
      <c r="V21" s="30" t="n"/>
      <c r="W21" s="33" t="n"/>
      <c r="X21" s="32" t="n"/>
      <c r="Y21" s="41">
        <f>IF(OR(W21="",X21="",X21&lt;=0),"",W21/X21)</f>
        <v/>
      </c>
      <c r="Z21" s="30" t="n"/>
      <c r="AA21" s="32" t="n"/>
      <c r="AB21" s="30" t="n"/>
      <c r="AC21" s="30" t="n"/>
      <c r="AD21" s="30" t="n"/>
      <c r="AE21" s="30" t="n"/>
      <c r="AF21" s="30" t="n"/>
      <c r="AG21" s="30" t="n"/>
      <c r="AH21" s="30" t="n"/>
      <c r="AI21" s="35">
        <f>IF(NOT(COUNTA(A21:AH21)&gt;0),"",IF(TEXTJOIN(", ",TRUE,IF(B21="","Название",""),IF(C21="","Тип недвижимости",""),IF(D21="","Страна",""),IF(E21="","Город",""),IF(F21="","Улица",""),IF(I21="","Валюта",""),IF(OR(AA21="",AA21&lt;1),"Хотя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земли",""),IF(OR(AF21="",AF21="Нет"),"Право собственности",""),IF(OR(AG21="",AG21="Нет"),"Справка об отсутствии обременений",""),IF(OR(W21="",W21&lt;=0),"Общая стоимость",""),IF(OR(X21="",X21&lt;=0),"Количество долей",""),IF(AND(X21&lt;&gt;"",X21&lt;&gt;INT(X21)),"Количество долей должно быть целым",""))="","",TEXTJOIN(", ",TRUE,IF(B21="","Название",""),IF(C21="","Тип недвижимости",""),IF(D21="","Страна",""),IF(E21="","Город",""),IF(F21="","Улица",""),IF(I21="","Валюта",""),IF(OR(AA21="",AA21&lt;1),"Хотя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земли",""),IF(OR(AF21="",AF21="Нет"),"Право собственности",""),IF(OR(AG21="",AG21="Нет"),"Справка об отсутствии обременений",""),IF(OR(W21="",W21&lt;=0),"Общая стоимость",""),IF(OR(X21="",X21&lt;=0),"Количество долей",""),IF(AND(X21&lt;&gt;"",X21&lt;&gt;INT(X21)),"Количество долей должно быть целым",""))))</f>
        <v/>
      </c>
      <c r="AJ21" s="35">
        <f>IF(NOT(COUNTA(A21:AH21)&gt;0),"",IF(TEXTJOIN(", ",TRUE,IF(AD21="","Описание",""),IF(AND(AA21&lt;&gt;"",AA21&gt;=1,AA21&lt;5),"Фото меньше 5",""),IF(AC21="","Видео",""),IF(H21="","Кадастровый номер",""),IF(AB21="","Ссылка на фото",""))="","",TEXTJOIN(", ",TRUE,IF(AD21="","Описание",""),IF(AND(AA21&lt;&gt;"",AA21&gt;=1,AA21&lt;5),"Фото меньше 5",""),IF(AC21="","Видео",""),IF(H21="","Кадастровый номер",""),IF(AB21="","Ссылка на фото",""))))</f>
        <v/>
      </c>
      <c r="AK21" s="35">
        <f>IF(NOT(COUNTA(A21:AH21)&gt;0),"",IF(AI21="","Можно публиковать","Не хватает"))</f>
        <v/>
      </c>
    </row>
    <row r="22" ht="22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7" t="n"/>
      <c r="K22" s="37" t="n"/>
      <c r="L22" s="37" t="n"/>
      <c r="M22" s="38" t="n"/>
      <c r="N22" s="38" t="n"/>
      <c r="O22" s="38" t="n"/>
      <c r="P22" s="38" t="n"/>
      <c r="Q22" s="38" t="n"/>
      <c r="R22" s="38" t="n"/>
      <c r="S22" s="36" t="n"/>
      <c r="T22" s="36" t="n"/>
      <c r="U22" s="36" t="n"/>
      <c r="V22" s="36" t="n"/>
      <c r="W22" s="39" t="n"/>
      <c r="X22" s="38" t="n"/>
      <c r="Y22" s="41">
        <f>IF(OR(W22="",X22="",X22&lt;=0),"",W22/X22)</f>
        <v/>
      </c>
      <c r="Z22" s="36" t="n"/>
      <c r="AA22" s="38" t="n"/>
      <c r="AB22" s="36" t="n"/>
      <c r="AC22" s="36" t="n"/>
      <c r="AD22" s="36" t="n"/>
      <c r="AE22" s="36" t="n"/>
      <c r="AF22" s="36" t="n"/>
      <c r="AG22" s="36" t="n"/>
      <c r="AH22" s="36" t="n"/>
      <c r="AI22" s="35">
        <f>IF(NOT(COUNTA(A22:AH22)&gt;0),"",IF(TEXTJOIN(", ",TRUE,IF(B22="","Название",""),IF(C22="","Тип недвижимости",""),IF(D22="","Страна",""),IF(E22="","Город",""),IF(F22="","Улица",""),IF(I22="","Валюта",""),IF(OR(AA22="",AA22&lt;1),"Хотя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земли",""),IF(OR(AF22="",AF22="Нет"),"Право собственности",""),IF(OR(AG22="",AG22="Нет"),"Справка об отсутствии обременений",""),IF(OR(W22="",W22&lt;=0),"Общая стоимость",""),IF(OR(X22="",X22&lt;=0),"Количество долей",""),IF(AND(X22&lt;&gt;"",X22&lt;&gt;INT(X22)),"Количество долей должно быть целым",""))="","",TEXTJOIN(", ",TRUE,IF(B22="","Название",""),IF(C22="","Тип недвижимости",""),IF(D22="","Страна",""),IF(E22="","Город",""),IF(F22="","Улица",""),IF(I22="","Валюта",""),IF(OR(AA22="",AA22&lt;1),"Хотя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земли",""),IF(OR(AF22="",AF22="Нет"),"Право собственности",""),IF(OR(AG22="",AG22="Нет"),"Справка об отсутствии обременений",""),IF(OR(W22="",W22&lt;=0),"Общая стоимость",""),IF(OR(X22="",X22&lt;=0),"Количество долей",""),IF(AND(X22&lt;&gt;"",X22&lt;&gt;INT(X22)),"Количество долей должно быть целым",""))))</f>
        <v/>
      </c>
      <c r="AJ22" s="35">
        <f>IF(NOT(COUNTA(A22:AH22)&gt;0),"",IF(TEXTJOIN(", ",TRUE,IF(AD22="","Описание",""),IF(AND(AA22&lt;&gt;"",AA22&gt;=1,AA22&lt;5),"Фото меньше 5",""),IF(AC22="","Видео",""),IF(H22="","Кадастровый номер",""),IF(AB22="","Ссылка на фото",""))="","",TEXTJOIN(", ",TRUE,IF(AD22="","Описание",""),IF(AND(AA22&lt;&gt;"",AA22&gt;=1,AA22&lt;5),"Фото меньше 5",""),IF(AC22="","Видео",""),IF(H22="","Кадастровый номер",""),IF(AB22="","Ссылка на фото",""))))</f>
        <v/>
      </c>
      <c r="AK22" s="35">
        <f>IF(NOT(COUNTA(A22:AH22)&gt;0),"",IF(AI22="","Можно публиковать","Не хватает"))</f>
        <v/>
      </c>
    </row>
    <row r="23" ht="2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 t="n"/>
      <c r="K23" s="31" t="n"/>
      <c r="L23" s="31" t="n"/>
      <c r="M23" s="32" t="n"/>
      <c r="N23" s="32" t="n"/>
      <c r="O23" s="32" t="n"/>
      <c r="P23" s="32" t="n"/>
      <c r="Q23" s="32" t="n"/>
      <c r="R23" s="32" t="n"/>
      <c r="S23" s="30" t="n"/>
      <c r="T23" s="30" t="n"/>
      <c r="U23" s="30" t="n"/>
      <c r="V23" s="30" t="n"/>
      <c r="W23" s="33" t="n"/>
      <c r="X23" s="32" t="n"/>
      <c r="Y23" s="41">
        <f>IF(OR(W23="",X23="",X23&lt;=0),"",W23/X23)</f>
        <v/>
      </c>
      <c r="Z23" s="30" t="n"/>
      <c r="AA23" s="32" t="n"/>
      <c r="AB23" s="30" t="n"/>
      <c r="AC23" s="30" t="n"/>
      <c r="AD23" s="30" t="n"/>
      <c r="AE23" s="30" t="n"/>
      <c r="AF23" s="30" t="n"/>
      <c r="AG23" s="30" t="n"/>
      <c r="AH23" s="30" t="n"/>
      <c r="AI23" s="35">
        <f>IF(NOT(COUNTA(A23:AH23)&gt;0),"",IF(TEXTJOIN(", ",TRUE,IF(B23="","Название",""),IF(C23="","Тип недвижимости",""),IF(D23="","Страна",""),IF(E23="","Город",""),IF(F23="","Улица",""),IF(I23="","Валюта",""),IF(OR(AA23="",AA23&lt;1),"Хотя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земли",""),IF(OR(AF23="",AF23="Нет"),"Право собственности",""),IF(OR(AG23="",AG23="Нет"),"Справка об отсутствии обременений",""),IF(OR(W23="",W23&lt;=0),"Общая стоимость",""),IF(OR(X23="",X23&lt;=0),"Количество долей",""),IF(AND(X23&lt;&gt;"",X23&lt;&gt;INT(X23)),"Количество долей должно быть целым",""))="","",TEXTJOIN(", ",TRUE,IF(B23="","Название",""),IF(C23="","Тип недвижимости",""),IF(D23="","Страна",""),IF(E23="","Город",""),IF(F23="","Улица",""),IF(I23="","Валюта",""),IF(OR(AA23="",AA23&lt;1),"Хотя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земли",""),IF(OR(AF23="",AF23="Нет"),"Право собственности",""),IF(OR(AG23="",AG23="Нет"),"Справка об отсутствии обременений",""),IF(OR(W23="",W23&lt;=0),"Общая стоимость",""),IF(OR(X23="",X23&lt;=0),"Количество долей",""),IF(AND(X23&lt;&gt;"",X23&lt;&gt;INT(X23)),"Количество долей должно быть целым",""))))</f>
        <v/>
      </c>
      <c r="AJ23" s="35">
        <f>IF(NOT(COUNTA(A23:AH23)&gt;0),"",IF(TEXTJOIN(", ",TRUE,IF(AD23="","Описание",""),IF(AND(AA23&lt;&gt;"",AA23&gt;=1,AA23&lt;5),"Фото меньше 5",""),IF(AC23="","Видео",""),IF(H23="","Кадастровый номер",""),IF(AB23="","Ссылка на фото",""))="","",TEXTJOIN(", ",TRUE,IF(AD23="","Описание",""),IF(AND(AA23&lt;&gt;"",AA23&gt;=1,AA23&lt;5),"Фото меньше 5",""),IF(AC23="","Видео",""),IF(H23="","Кадастровый номер",""),IF(AB23="","Ссылка на фото",""))))</f>
        <v/>
      </c>
      <c r="AK23" s="35">
        <f>IF(NOT(COUNTA(A23:AH23)&gt;0),"",IF(AI23="","Можно публиковать","Не хватает"))</f>
        <v/>
      </c>
    </row>
    <row r="24" ht="22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7" t="n"/>
      <c r="K24" s="37" t="n"/>
      <c r="L24" s="37" t="n"/>
      <c r="M24" s="38" t="n"/>
      <c r="N24" s="38" t="n"/>
      <c r="O24" s="38" t="n"/>
      <c r="P24" s="38" t="n"/>
      <c r="Q24" s="38" t="n"/>
      <c r="R24" s="38" t="n"/>
      <c r="S24" s="36" t="n"/>
      <c r="T24" s="36" t="n"/>
      <c r="U24" s="36" t="n"/>
      <c r="V24" s="36" t="n"/>
      <c r="W24" s="39" t="n"/>
      <c r="X24" s="38" t="n"/>
      <c r="Y24" s="41">
        <f>IF(OR(W24="",X24="",X24&lt;=0),"",W24/X24)</f>
        <v/>
      </c>
      <c r="Z24" s="36" t="n"/>
      <c r="AA24" s="38" t="n"/>
      <c r="AB24" s="36" t="n"/>
      <c r="AC24" s="36" t="n"/>
      <c r="AD24" s="36" t="n"/>
      <c r="AE24" s="36" t="n"/>
      <c r="AF24" s="36" t="n"/>
      <c r="AG24" s="36" t="n"/>
      <c r="AH24" s="36" t="n"/>
      <c r="AI24" s="35">
        <f>IF(NOT(COUNTA(A24:AH24)&gt;0),"",IF(TEXTJOIN(", ",TRUE,IF(B24="","Название",""),IF(C24="","Тип недвижимости",""),IF(D24="","Страна",""),IF(E24="","Город",""),IF(F24="","Улица",""),IF(I24="","Валюта",""),IF(OR(AA24="",AA24&lt;1),"Хотя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земли",""),IF(OR(AF24="",AF24="Нет"),"Право собственности",""),IF(OR(AG24="",AG24="Нет"),"Справка об отсутствии обременений",""),IF(OR(W24="",W24&lt;=0),"Общая стоимость",""),IF(OR(X24="",X24&lt;=0),"Количество долей",""),IF(AND(X24&lt;&gt;"",X24&lt;&gt;INT(X24)),"Количество долей должно быть целым",""))="","",TEXTJOIN(", ",TRUE,IF(B24="","Название",""),IF(C24="","Тип недвижимости",""),IF(D24="","Страна",""),IF(E24="","Город",""),IF(F24="","Улица",""),IF(I24="","Валюта",""),IF(OR(AA24="",AA24&lt;1),"Хотя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земли",""),IF(OR(AF24="",AF24="Нет"),"Право собственности",""),IF(OR(AG24="",AG24="Нет"),"Справка об отсутствии обременений",""),IF(OR(W24="",W24&lt;=0),"Общая стоимость",""),IF(OR(X24="",X24&lt;=0),"Количество долей",""),IF(AND(X24&lt;&gt;"",X24&lt;&gt;INT(X24)),"Количество долей должно быть целым",""))))</f>
        <v/>
      </c>
      <c r="AJ24" s="35">
        <f>IF(NOT(COUNTA(A24:AH24)&gt;0),"",IF(TEXTJOIN(", ",TRUE,IF(AD24="","Описание",""),IF(AND(AA24&lt;&gt;"",AA24&gt;=1,AA24&lt;5),"Фото меньше 5",""),IF(AC24="","Видео",""),IF(H24="","Кадастровый номер",""),IF(AB24="","Ссылка на фото",""))="","",TEXTJOIN(", ",TRUE,IF(AD24="","Описание",""),IF(AND(AA24&lt;&gt;"",AA24&gt;=1,AA24&lt;5),"Фото меньше 5",""),IF(AC24="","Видео",""),IF(H24="","Кадастровый номер",""),IF(AB24="","Ссылка на фото",""))))</f>
        <v/>
      </c>
      <c r="AK24" s="35">
        <f>IF(NOT(COUNTA(A24:AH24)&gt;0),"",IF(AI24="","Можно публиковать","Не хватает"))</f>
        <v/>
      </c>
    </row>
    <row r="25" ht="2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 t="n"/>
      <c r="K25" s="31" t="n"/>
      <c r="L25" s="31" t="n"/>
      <c r="M25" s="32" t="n"/>
      <c r="N25" s="32" t="n"/>
      <c r="O25" s="32" t="n"/>
      <c r="P25" s="32" t="n"/>
      <c r="Q25" s="32" t="n"/>
      <c r="R25" s="32" t="n"/>
      <c r="S25" s="30" t="n"/>
      <c r="T25" s="30" t="n"/>
      <c r="U25" s="30" t="n"/>
      <c r="V25" s="30" t="n"/>
      <c r="W25" s="33" t="n"/>
      <c r="X25" s="32" t="n"/>
      <c r="Y25" s="41">
        <f>IF(OR(W25="",X25="",X25&lt;=0),"",W25/X25)</f>
        <v/>
      </c>
      <c r="Z25" s="30" t="n"/>
      <c r="AA25" s="32" t="n"/>
      <c r="AB25" s="30" t="n"/>
      <c r="AC25" s="30" t="n"/>
      <c r="AD25" s="30" t="n"/>
      <c r="AE25" s="30" t="n"/>
      <c r="AF25" s="30" t="n"/>
      <c r="AG25" s="30" t="n"/>
      <c r="AH25" s="30" t="n"/>
      <c r="AI25" s="35">
        <f>IF(NOT(COUNTA(A25:AH25)&gt;0),"",IF(TEXTJOIN(", ",TRUE,IF(B25="","Название",""),IF(C25="","Тип недвижимости",""),IF(D25="","Страна",""),IF(E25="","Город",""),IF(F25="","Улица",""),IF(I25="","Валюта",""),IF(OR(AA25="",AA25&lt;1),"Хотя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земли",""),IF(OR(AF25="",AF25="Нет"),"Право собственности",""),IF(OR(AG25="",AG25="Нет"),"Справка об отсутствии обременений",""),IF(OR(W25="",W25&lt;=0),"Общая стоимость",""),IF(OR(X25="",X25&lt;=0),"Количество долей",""),IF(AND(X25&lt;&gt;"",X25&lt;&gt;INT(X25)),"Количество долей должно быть целым",""))="","",TEXTJOIN(", ",TRUE,IF(B25="","Название",""),IF(C25="","Тип недвижимости",""),IF(D25="","Страна",""),IF(E25="","Город",""),IF(F25="","Улица",""),IF(I25="","Валюта",""),IF(OR(AA25="",AA25&lt;1),"Хотя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земли",""),IF(OR(AF25="",AF25="Нет"),"Право собственности",""),IF(OR(AG25="",AG25="Нет"),"Справка об отсутствии обременений",""),IF(OR(W25="",W25&lt;=0),"Общая стоимость",""),IF(OR(X25="",X25&lt;=0),"Количество долей",""),IF(AND(X25&lt;&gt;"",X25&lt;&gt;INT(X25)),"Количество долей должно быть целым",""))))</f>
        <v/>
      </c>
      <c r="AJ25" s="35">
        <f>IF(NOT(COUNTA(A25:AH25)&gt;0),"",IF(TEXTJOIN(", ",TRUE,IF(AD25="","Описание",""),IF(AND(AA25&lt;&gt;"",AA25&gt;=1,AA25&lt;5),"Фото меньше 5",""),IF(AC25="","Видео",""),IF(H25="","Кадастровый номер",""),IF(AB25="","Ссылка на фото",""))="","",TEXTJOIN(", ",TRUE,IF(AD25="","Описание",""),IF(AND(AA25&lt;&gt;"",AA25&gt;=1,AA25&lt;5),"Фото меньше 5",""),IF(AC25="","Видео",""),IF(H25="","Кадастровый номер",""),IF(AB25="","Ссылка на фото",""))))</f>
        <v/>
      </c>
      <c r="AK25" s="35">
        <f>IF(NOT(COUNTA(A25:AH25)&gt;0),"",IF(AI25="","Можно публиковать","Не хватает"))</f>
        <v/>
      </c>
    </row>
    <row r="26" ht="22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7" t="n"/>
      <c r="K26" s="37" t="n"/>
      <c r="L26" s="37" t="n"/>
      <c r="M26" s="38" t="n"/>
      <c r="N26" s="38" t="n"/>
      <c r="O26" s="38" t="n"/>
      <c r="P26" s="38" t="n"/>
      <c r="Q26" s="38" t="n"/>
      <c r="R26" s="38" t="n"/>
      <c r="S26" s="36" t="n"/>
      <c r="T26" s="36" t="n"/>
      <c r="U26" s="36" t="n"/>
      <c r="V26" s="36" t="n"/>
      <c r="W26" s="39" t="n"/>
      <c r="X26" s="38" t="n"/>
      <c r="Y26" s="41">
        <f>IF(OR(W26="",X26="",X26&lt;=0),"",W26/X26)</f>
        <v/>
      </c>
      <c r="Z26" s="36" t="n"/>
      <c r="AA26" s="38" t="n"/>
      <c r="AB26" s="36" t="n"/>
      <c r="AC26" s="36" t="n"/>
      <c r="AD26" s="36" t="n"/>
      <c r="AE26" s="36" t="n"/>
      <c r="AF26" s="36" t="n"/>
      <c r="AG26" s="36" t="n"/>
      <c r="AH26" s="36" t="n"/>
      <c r="AI26" s="35">
        <f>IF(NOT(COUNTA(A26:AH26)&gt;0),"",IF(TEXTJOIN(", ",TRUE,IF(B26="","Название",""),IF(C26="","Тип недвижимости",""),IF(D26="","Страна",""),IF(E26="","Город",""),IF(F26="","Улица",""),IF(I26="","Валюта",""),IF(OR(AA26="",AA26&lt;1),"Хотя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земли",""),IF(OR(AF26="",AF26="Нет"),"Право собственности",""),IF(OR(AG26="",AG26="Нет"),"Справка об отсутствии обременений",""),IF(OR(W26="",W26&lt;=0),"Общая стоимость",""),IF(OR(X26="",X26&lt;=0),"Количество долей",""),IF(AND(X26&lt;&gt;"",X26&lt;&gt;INT(X26)),"Количество долей должно быть целым",""))="","",TEXTJOIN(", ",TRUE,IF(B26="","Название",""),IF(C26="","Тип недвижимости",""),IF(D26="","Страна",""),IF(E26="","Город",""),IF(F26="","Улица",""),IF(I26="","Валюта",""),IF(OR(AA26="",AA26&lt;1),"Хотя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земли",""),IF(OR(AF26="",AF26="Нет"),"Право собственности",""),IF(OR(AG26="",AG26="Нет"),"Справка об отсутствии обременений",""),IF(OR(W26="",W26&lt;=0),"Общая стоимость",""),IF(OR(X26="",X26&lt;=0),"Количество долей",""),IF(AND(X26&lt;&gt;"",X26&lt;&gt;INT(X26)),"Количество долей должно быть целым",""))))</f>
        <v/>
      </c>
      <c r="AJ26" s="35">
        <f>IF(NOT(COUNTA(A26:AH26)&gt;0),"",IF(TEXTJOIN(", ",TRUE,IF(AD26="","Описание",""),IF(AND(AA26&lt;&gt;"",AA26&gt;=1,AA26&lt;5),"Фото меньше 5",""),IF(AC26="","Видео",""),IF(H26="","Кадастровый номер",""),IF(AB26="","Ссылка на фото",""))="","",TEXTJOIN(", ",TRUE,IF(AD26="","Описание",""),IF(AND(AA26&lt;&gt;"",AA26&gt;=1,AA26&lt;5),"Фото меньше 5",""),IF(AC26="","Видео",""),IF(H26="","Кадастровый номер",""),IF(AB26="","Ссылка на фото",""))))</f>
        <v/>
      </c>
      <c r="AK26" s="35">
        <f>IF(NOT(COUNTA(A26:AH26)&gt;0),"",IF(AI26="","Можно публиковать","Не хватает"))</f>
        <v/>
      </c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 t="n"/>
      <c r="K27" s="31" t="n"/>
      <c r="L27" s="31" t="n"/>
      <c r="M27" s="32" t="n"/>
      <c r="N27" s="32" t="n"/>
      <c r="O27" s="32" t="n"/>
      <c r="P27" s="32" t="n"/>
      <c r="Q27" s="32" t="n"/>
      <c r="R27" s="32" t="n"/>
      <c r="S27" s="30" t="n"/>
      <c r="T27" s="30" t="n"/>
      <c r="U27" s="30" t="n"/>
      <c r="V27" s="30" t="n"/>
      <c r="W27" s="33" t="n"/>
      <c r="X27" s="32" t="n"/>
      <c r="Y27" s="41">
        <f>IF(OR(W27="",X27="",X27&lt;=0),"",W27/X27)</f>
        <v/>
      </c>
      <c r="Z27" s="30" t="n"/>
      <c r="AA27" s="32" t="n"/>
      <c r="AB27" s="30" t="n"/>
      <c r="AC27" s="30" t="n"/>
      <c r="AD27" s="30" t="n"/>
      <c r="AE27" s="30" t="n"/>
      <c r="AF27" s="30" t="n"/>
      <c r="AG27" s="30" t="n"/>
      <c r="AH27" s="30" t="n"/>
      <c r="AI27" s="35">
        <f>IF(NOT(COUNTA(A27:AH27)&gt;0),"",IF(TEXTJOIN(", ",TRUE,IF(B27="","Название",""),IF(C27="","Тип недвижимости",""),IF(D27="","Страна",""),IF(E27="","Город",""),IF(F27="","Улица",""),IF(I27="","Валюта",""),IF(OR(AA27="",AA27&lt;1),"Хотя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земли",""),IF(OR(AF27="",AF27="Нет"),"Право собственности",""),IF(OR(AG27="",AG27="Нет"),"Справка об отсутствии обременений",""),IF(OR(W27="",W27&lt;=0),"Общая стоимость",""),IF(OR(X27="",X27&lt;=0),"Количество долей",""),IF(AND(X27&lt;&gt;"",X27&lt;&gt;INT(X27)),"Количество долей должно быть целым",""))="","",TEXTJOIN(", ",TRUE,IF(B27="","Название",""),IF(C27="","Тип недвижимости",""),IF(D27="","Страна",""),IF(E27="","Город",""),IF(F27="","Улица",""),IF(I27="","Валюта",""),IF(OR(AA27="",AA27&lt;1),"Хотя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земли",""),IF(OR(AF27="",AF27="Нет"),"Право собственности",""),IF(OR(AG27="",AG27="Нет"),"Справка об отсутствии обременений",""),IF(OR(W27="",W27&lt;=0),"Общая стоимость",""),IF(OR(X27="",X27&lt;=0),"Количество долей",""),IF(AND(X27&lt;&gt;"",X27&lt;&gt;INT(X27)),"Количество долей должно быть целым",""))))</f>
        <v/>
      </c>
      <c r="AJ27" s="35">
        <f>IF(NOT(COUNTA(A27:AH27)&gt;0),"",IF(TEXTJOIN(", ",TRUE,IF(AD27="","Описание",""),IF(AND(AA27&lt;&gt;"",AA27&gt;=1,AA27&lt;5),"Фото меньше 5",""),IF(AC27="","Видео",""),IF(H27="","Кадастровый номер",""),IF(AB27="","Ссылка на фото",""))="","",TEXTJOIN(", ",TRUE,IF(AD27="","Описание",""),IF(AND(AA27&lt;&gt;"",AA27&gt;=1,AA27&lt;5),"Фото меньше 5",""),IF(AC27="","Видео",""),IF(H27="","Кадастровый номер",""),IF(AB27="","Ссылка на фото",""))))</f>
        <v/>
      </c>
      <c r="AK27" s="35">
        <f>IF(NOT(COUNTA(A27:AH27)&gt;0),"",IF(AI27="","Можно публиковать","Не хватает"))</f>
        <v/>
      </c>
    </row>
    <row r="28" ht="22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7" t="n"/>
      <c r="K28" s="37" t="n"/>
      <c r="L28" s="37" t="n"/>
      <c r="M28" s="38" t="n"/>
      <c r="N28" s="38" t="n"/>
      <c r="O28" s="38" t="n"/>
      <c r="P28" s="38" t="n"/>
      <c r="Q28" s="38" t="n"/>
      <c r="R28" s="38" t="n"/>
      <c r="S28" s="36" t="n"/>
      <c r="T28" s="36" t="n"/>
      <c r="U28" s="36" t="n"/>
      <c r="V28" s="36" t="n"/>
      <c r="W28" s="39" t="n"/>
      <c r="X28" s="38" t="n"/>
      <c r="Y28" s="41">
        <f>IF(OR(W28="",X28="",X28&lt;=0),"",W28/X28)</f>
        <v/>
      </c>
      <c r="Z28" s="36" t="n"/>
      <c r="AA28" s="38" t="n"/>
      <c r="AB28" s="36" t="n"/>
      <c r="AC28" s="36" t="n"/>
      <c r="AD28" s="36" t="n"/>
      <c r="AE28" s="36" t="n"/>
      <c r="AF28" s="36" t="n"/>
      <c r="AG28" s="36" t="n"/>
      <c r="AH28" s="36" t="n"/>
      <c r="AI28" s="35">
        <f>IF(NOT(COUNTA(A28:AH28)&gt;0),"",IF(TEXTJOIN(", ",TRUE,IF(B28="","Название",""),IF(C28="","Тип недвижимости",""),IF(D28="","Страна",""),IF(E28="","Город",""),IF(F28="","Улица",""),IF(I28="","Валюта",""),IF(OR(AA28="",AA28&lt;1),"Хотя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земли",""),IF(OR(AF28="",AF28="Нет"),"Право собственности",""),IF(OR(AG28="",AG28="Нет"),"Справка об отсутствии обременений",""),IF(OR(W28="",W28&lt;=0),"Общая стоимость",""),IF(OR(X28="",X28&lt;=0),"Количество долей",""),IF(AND(X28&lt;&gt;"",X28&lt;&gt;INT(X28)),"Количество долей должно быть целым",""))="","",TEXTJOIN(", ",TRUE,IF(B28="","Название",""),IF(C28="","Тип недвижимости",""),IF(D28="","Страна",""),IF(E28="","Город",""),IF(F28="","Улица",""),IF(I28="","Валюта",""),IF(OR(AA28="",AA28&lt;1),"Хотя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земли",""),IF(OR(AF28="",AF28="Нет"),"Право собственности",""),IF(OR(AG28="",AG28="Нет"),"Справка об отсутствии обременений",""),IF(OR(W28="",W28&lt;=0),"Общая стоимость",""),IF(OR(X28="",X28&lt;=0),"Количество долей",""),IF(AND(X28&lt;&gt;"",X28&lt;&gt;INT(X28)),"Количество долей должно быть целым",""))))</f>
        <v/>
      </c>
      <c r="AJ28" s="35">
        <f>IF(NOT(COUNTA(A28:AH28)&gt;0),"",IF(TEXTJOIN(", ",TRUE,IF(AD28="","Описание",""),IF(AND(AA28&lt;&gt;"",AA28&gt;=1,AA28&lt;5),"Фото меньше 5",""),IF(AC28="","Видео",""),IF(H28="","Кадастровый номер",""),IF(AB28="","Ссылка на фото",""))="","",TEXTJOIN(", ",TRUE,IF(AD28="","Описание",""),IF(AND(AA28&lt;&gt;"",AA28&gt;=1,AA28&lt;5),"Фото меньше 5",""),IF(AC28="","Видео",""),IF(H28="","Кадастровый номер",""),IF(AB28="","Ссылка на фото",""))))</f>
        <v/>
      </c>
      <c r="AK28" s="35">
        <f>IF(NOT(COUNTA(A28:AH28)&gt;0),"",IF(AI28="","Можно публиковать","Не хватает"))</f>
        <v/>
      </c>
    </row>
    <row r="29" ht="22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 t="n"/>
      <c r="K29" s="31" t="n"/>
      <c r="L29" s="31" t="n"/>
      <c r="M29" s="32" t="n"/>
      <c r="N29" s="32" t="n"/>
      <c r="O29" s="32" t="n"/>
      <c r="P29" s="32" t="n"/>
      <c r="Q29" s="32" t="n"/>
      <c r="R29" s="32" t="n"/>
      <c r="S29" s="30" t="n"/>
      <c r="T29" s="30" t="n"/>
      <c r="U29" s="30" t="n"/>
      <c r="V29" s="30" t="n"/>
      <c r="W29" s="33" t="n"/>
      <c r="X29" s="32" t="n"/>
      <c r="Y29" s="41">
        <f>IF(OR(W29="",X29="",X29&lt;=0),"",W29/X29)</f>
        <v/>
      </c>
      <c r="Z29" s="30" t="n"/>
      <c r="AA29" s="32" t="n"/>
      <c r="AB29" s="30" t="n"/>
      <c r="AC29" s="30" t="n"/>
      <c r="AD29" s="30" t="n"/>
      <c r="AE29" s="30" t="n"/>
      <c r="AF29" s="30" t="n"/>
      <c r="AG29" s="30" t="n"/>
      <c r="AH29" s="30" t="n"/>
      <c r="AI29" s="35">
        <f>IF(NOT(COUNTA(A29:AH29)&gt;0),"",IF(TEXTJOIN(", ",TRUE,IF(B29="","Название",""),IF(C29="","Тип недвижимости",""),IF(D29="","Страна",""),IF(E29="","Город",""),IF(F29="","Улица",""),IF(I29="","Валюта",""),IF(OR(AA29="",AA29&lt;1),"Хотя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земли",""),IF(OR(AF29="",AF29="Нет"),"Право собственности",""),IF(OR(AG29="",AG29="Нет"),"Справка об отсутствии обременений",""),IF(OR(W29="",W29&lt;=0),"Общая стоимость",""),IF(OR(X29="",X29&lt;=0),"Количество долей",""),IF(AND(X29&lt;&gt;"",X29&lt;&gt;INT(X29)),"Количество долей должно быть целым",""))="","",TEXTJOIN(", ",TRUE,IF(B29="","Название",""),IF(C29="","Тип недвижимости",""),IF(D29="","Страна",""),IF(E29="","Город",""),IF(F29="","Улица",""),IF(I29="","Валюта",""),IF(OR(AA29="",AA29&lt;1),"Хотя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земли",""),IF(OR(AF29="",AF29="Нет"),"Право собственности",""),IF(OR(AG29="",AG29="Нет"),"Справка об отсутствии обременений",""),IF(OR(W29="",W29&lt;=0),"Общая стоимость",""),IF(OR(X29="",X29&lt;=0),"Количество долей",""),IF(AND(X29&lt;&gt;"",X29&lt;&gt;INT(X29)),"Количество долей должно быть целым",""))))</f>
        <v/>
      </c>
      <c r="AJ29" s="35">
        <f>IF(NOT(COUNTA(A29:AH29)&gt;0),"",IF(TEXTJOIN(", ",TRUE,IF(AD29="","Описание",""),IF(AND(AA29&lt;&gt;"",AA29&gt;=1,AA29&lt;5),"Фото меньше 5",""),IF(AC29="","Видео",""),IF(H29="","Кадастровый номер",""),IF(AB29="","Ссылка на фото",""))="","",TEXTJOIN(", ",TRUE,IF(AD29="","Описание",""),IF(AND(AA29&lt;&gt;"",AA29&gt;=1,AA29&lt;5),"Фото меньше 5",""),IF(AC29="","Видео",""),IF(H29="","Кадастровый номер",""),IF(AB29="","Ссылка на фото",""))))</f>
        <v/>
      </c>
      <c r="AK29" s="35">
        <f>IF(NOT(COUNTA(A29:AH29)&gt;0),"",IF(AI29="","Можно публиковать","Не хватает"))</f>
        <v/>
      </c>
    </row>
    <row r="30" ht="22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7" t="n"/>
      <c r="K30" s="37" t="n"/>
      <c r="L30" s="37" t="n"/>
      <c r="M30" s="38" t="n"/>
      <c r="N30" s="38" t="n"/>
      <c r="O30" s="38" t="n"/>
      <c r="P30" s="38" t="n"/>
      <c r="Q30" s="38" t="n"/>
      <c r="R30" s="38" t="n"/>
      <c r="S30" s="36" t="n"/>
      <c r="T30" s="36" t="n"/>
      <c r="U30" s="36" t="n"/>
      <c r="V30" s="36" t="n"/>
      <c r="W30" s="39" t="n"/>
      <c r="X30" s="38" t="n"/>
      <c r="Y30" s="41">
        <f>IF(OR(W30="",X30="",X30&lt;=0),"",W30/X30)</f>
        <v/>
      </c>
      <c r="Z30" s="36" t="n"/>
      <c r="AA30" s="38" t="n"/>
      <c r="AB30" s="36" t="n"/>
      <c r="AC30" s="36" t="n"/>
      <c r="AD30" s="36" t="n"/>
      <c r="AE30" s="36" t="n"/>
      <c r="AF30" s="36" t="n"/>
      <c r="AG30" s="36" t="n"/>
      <c r="AH30" s="36" t="n"/>
      <c r="AI30" s="35">
        <f>IF(NOT(COUNTA(A30:AH30)&gt;0),"",IF(TEXTJOIN(", ",TRUE,IF(B30="","Название",""),IF(C30="","Тип недвижимости",""),IF(D30="","Страна",""),IF(E30="","Город",""),IF(F30="","Улица",""),IF(I30="","Валюта",""),IF(OR(AA30="",AA30&lt;1),"Хотя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земли",""),IF(OR(AF30="",AF30="Нет"),"Право собственности",""),IF(OR(AG30="",AG30="Нет"),"Справка об отсутствии обременений",""),IF(OR(W30="",W30&lt;=0),"Общая стоимость",""),IF(OR(X30="",X30&lt;=0),"Количество долей",""),IF(AND(X30&lt;&gt;"",X30&lt;&gt;INT(X30)),"Количество долей должно быть целым",""))="","",TEXTJOIN(", ",TRUE,IF(B30="","Название",""),IF(C30="","Тип недвижимости",""),IF(D30="","Страна",""),IF(E30="","Город",""),IF(F30="","Улица",""),IF(I30="","Валюта",""),IF(OR(AA30="",AA30&lt;1),"Хотя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земли",""),IF(OR(AF30="",AF30="Нет"),"Право собственности",""),IF(OR(AG30="",AG30="Нет"),"Справка об отсутствии обременений",""),IF(OR(W30="",W30&lt;=0),"Общая стоимость",""),IF(OR(X30="",X30&lt;=0),"Количество долей",""),IF(AND(X30&lt;&gt;"",X30&lt;&gt;INT(X30)),"Количество долей должно быть целым",""))))</f>
        <v/>
      </c>
      <c r="AJ30" s="35">
        <f>IF(NOT(COUNTA(A30:AH30)&gt;0),"",IF(TEXTJOIN(", ",TRUE,IF(AD30="","Описание",""),IF(AND(AA30&lt;&gt;"",AA30&gt;=1,AA30&lt;5),"Фото меньше 5",""),IF(AC30="","Видео",""),IF(H30="","Кадастровый номер",""),IF(AB30="","Ссылка на фото",""))="","",TEXTJOIN(", ",TRUE,IF(AD30="","Описание",""),IF(AND(AA30&lt;&gt;"",AA30&gt;=1,AA30&lt;5),"Фото меньше 5",""),IF(AC30="","Видео",""),IF(H30="","Кадастровый номер",""),IF(AB30="","Ссылка на фото",""))))</f>
        <v/>
      </c>
      <c r="AK30" s="35">
        <f>IF(NOT(COUNTA(A30:AH30)&gt;0),"",IF(AI30="","Можно публиковать","Не хватает"))</f>
        <v/>
      </c>
    </row>
    <row r="31" ht="22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 t="n"/>
      <c r="K31" s="31" t="n"/>
      <c r="L31" s="31" t="n"/>
      <c r="M31" s="32" t="n"/>
      <c r="N31" s="32" t="n"/>
      <c r="O31" s="32" t="n"/>
      <c r="P31" s="32" t="n"/>
      <c r="Q31" s="32" t="n"/>
      <c r="R31" s="32" t="n"/>
      <c r="S31" s="30" t="n"/>
      <c r="T31" s="30" t="n"/>
      <c r="U31" s="30" t="n"/>
      <c r="V31" s="30" t="n"/>
      <c r="W31" s="33" t="n"/>
      <c r="X31" s="32" t="n"/>
      <c r="Y31" s="41">
        <f>IF(OR(W31="",X31="",X31&lt;=0),"",W31/X31)</f>
        <v/>
      </c>
      <c r="Z31" s="30" t="n"/>
      <c r="AA31" s="32" t="n"/>
      <c r="AB31" s="30" t="n"/>
      <c r="AC31" s="30" t="n"/>
      <c r="AD31" s="30" t="n"/>
      <c r="AE31" s="30" t="n"/>
      <c r="AF31" s="30" t="n"/>
      <c r="AG31" s="30" t="n"/>
      <c r="AH31" s="30" t="n"/>
      <c r="AI31" s="35">
        <f>IF(NOT(COUNTA(A31:AH31)&gt;0),"",IF(TEXTJOIN(", ",TRUE,IF(B31="","Название",""),IF(C31="","Тип недвижимости",""),IF(D31="","Страна",""),IF(E31="","Город",""),IF(F31="","Улица",""),IF(I31="","Валюта",""),IF(OR(AA31="",AA31&lt;1),"Хотя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земли",""),IF(OR(AF31="",AF31="Нет"),"Право собственности",""),IF(OR(AG31="",AG31="Нет"),"Справка об отсутствии обременений",""),IF(OR(W31="",W31&lt;=0),"Общая стоимость",""),IF(OR(X31="",X31&lt;=0),"Количество долей",""),IF(AND(X31&lt;&gt;"",X31&lt;&gt;INT(X31)),"Количество долей должно быть целым",""))="","",TEXTJOIN(", ",TRUE,IF(B31="","Название",""),IF(C31="","Тип недвижимости",""),IF(D31="","Страна",""),IF(E31="","Город",""),IF(F31="","Улица",""),IF(I31="","Валюта",""),IF(OR(AA31="",AA31&lt;1),"Хотя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земли",""),IF(OR(AF31="",AF31="Нет"),"Право собственности",""),IF(OR(AG31="",AG31="Нет"),"Справка об отсутствии обременений",""),IF(OR(W31="",W31&lt;=0),"Общая стоимость",""),IF(OR(X31="",X31&lt;=0),"Количество долей",""),IF(AND(X31&lt;&gt;"",X31&lt;&gt;INT(X31)),"Количество долей должно быть целым",""))))</f>
        <v/>
      </c>
      <c r="AJ31" s="35">
        <f>IF(NOT(COUNTA(A31:AH31)&gt;0),"",IF(TEXTJOIN(", ",TRUE,IF(AD31="","Описание",""),IF(AND(AA31&lt;&gt;"",AA31&gt;=1,AA31&lt;5),"Фото меньше 5",""),IF(AC31="","Видео",""),IF(H31="","Кадастровый номер",""),IF(AB31="","Ссылка на фото",""))="","",TEXTJOIN(", ",TRUE,IF(AD31="","Описание",""),IF(AND(AA31&lt;&gt;"",AA31&gt;=1,AA31&lt;5),"Фото меньше 5",""),IF(AC31="","Видео",""),IF(H31="","Кадастровый номер",""),IF(AB31="","Ссылка на фото",""))))</f>
        <v/>
      </c>
      <c r="AK31" s="35">
        <f>IF(NOT(COUNTA(A31:AH31)&gt;0),"",IF(AI31="","Можно публиковать","Не хватает"))</f>
        <v/>
      </c>
    </row>
    <row r="32" ht="22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37" t="n"/>
      <c r="M32" s="38" t="n"/>
      <c r="N32" s="38" t="n"/>
      <c r="O32" s="38" t="n"/>
      <c r="P32" s="38" t="n"/>
      <c r="Q32" s="38" t="n"/>
      <c r="R32" s="38" t="n"/>
      <c r="S32" s="36" t="n"/>
      <c r="T32" s="36" t="n"/>
      <c r="U32" s="36" t="n"/>
      <c r="V32" s="36" t="n"/>
      <c r="W32" s="39" t="n"/>
      <c r="X32" s="38" t="n"/>
      <c r="Y32" s="41">
        <f>IF(OR(W32="",X32="",X32&lt;=0),"",W32/X32)</f>
        <v/>
      </c>
      <c r="Z32" s="36" t="n"/>
      <c r="AA32" s="38" t="n"/>
      <c r="AB32" s="36" t="n"/>
      <c r="AC32" s="36" t="n"/>
      <c r="AD32" s="36" t="n"/>
      <c r="AE32" s="36" t="n"/>
      <c r="AF32" s="36" t="n"/>
      <c r="AG32" s="36" t="n"/>
      <c r="AH32" s="36" t="n"/>
      <c r="AI32" s="35">
        <f>IF(NOT(COUNTA(A32:AH32)&gt;0),"",IF(TEXTJOIN(", ",TRUE,IF(B32="","Название",""),IF(C32="","Тип недвижимости",""),IF(D32="","Страна",""),IF(E32="","Город",""),IF(F32="","Улица",""),IF(I32="","Валюта",""),IF(OR(AA32="",AA32&lt;1),"Хотя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земли",""),IF(OR(AF32="",AF32="Нет"),"Право собственности",""),IF(OR(AG32="",AG32="Нет"),"Справка об отсутствии обременений",""),IF(OR(W32="",W32&lt;=0),"Общая стоимость",""),IF(OR(X32="",X32&lt;=0),"Количество долей",""),IF(AND(X32&lt;&gt;"",X32&lt;&gt;INT(X32)),"Количество долей должно быть целым",""))="","",TEXTJOIN(", ",TRUE,IF(B32="","Название",""),IF(C32="","Тип недвижимости",""),IF(D32="","Страна",""),IF(E32="","Город",""),IF(F32="","Улица",""),IF(I32="","Валюта",""),IF(OR(AA32="",AA32&lt;1),"Хотя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земли",""),IF(OR(AF32="",AF32="Нет"),"Право собственности",""),IF(OR(AG32="",AG32="Нет"),"Справка об отсутствии обременений",""),IF(OR(W32="",W32&lt;=0),"Общая стоимость",""),IF(OR(X32="",X32&lt;=0),"Количество долей",""),IF(AND(X32&lt;&gt;"",X32&lt;&gt;INT(X32)),"Количество долей должно быть целым",""))))</f>
        <v/>
      </c>
      <c r="AJ32" s="35">
        <f>IF(NOT(COUNTA(A32:AH32)&gt;0),"",IF(TEXTJOIN(", ",TRUE,IF(AD32="","Описание",""),IF(AND(AA32&lt;&gt;"",AA32&gt;=1,AA32&lt;5),"Фото меньше 5",""),IF(AC32="","Видео",""),IF(H32="","Кадастровый номер",""),IF(AB32="","Ссылка на фото",""))="","",TEXTJOIN(", ",TRUE,IF(AD32="","Описание",""),IF(AND(AA32&lt;&gt;"",AA32&gt;=1,AA32&lt;5),"Фото меньше 5",""),IF(AC32="","Видео",""),IF(H32="","Кадастровый номер",""),IF(AB32="","Ссылка на фото",""))))</f>
        <v/>
      </c>
      <c r="AK32" s="35">
        <f>IF(NOT(COUNTA(A32:AH32)&gt;0),"",IF(AI32="","Можно публиковать","Не хватает"))</f>
        <v/>
      </c>
    </row>
    <row r="33" ht="22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  <c r="K33" s="31" t="n"/>
      <c r="L33" s="31" t="n"/>
      <c r="M33" s="32" t="n"/>
      <c r="N33" s="32" t="n"/>
      <c r="O33" s="32" t="n"/>
      <c r="P33" s="32" t="n"/>
      <c r="Q33" s="32" t="n"/>
      <c r="R33" s="32" t="n"/>
      <c r="S33" s="30" t="n"/>
      <c r="T33" s="30" t="n"/>
      <c r="U33" s="30" t="n"/>
      <c r="V33" s="30" t="n"/>
      <c r="W33" s="33" t="n"/>
      <c r="X33" s="32" t="n"/>
      <c r="Y33" s="41">
        <f>IF(OR(W33="",X33="",X33&lt;=0),"",W33/X33)</f>
        <v/>
      </c>
      <c r="Z33" s="30" t="n"/>
      <c r="AA33" s="32" t="n"/>
      <c r="AB33" s="30" t="n"/>
      <c r="AC33" s="30" t="n"/>
      <c r="AD33" s="30" t="n"/>
      <c r="AE33" s="30" t="n"/>
      <c r="AF33" s="30" t="n"/>
      <c r="AG33" s="30" t="n"/>
      <c r="AH33" s="30" t="n"/>
      <c r="AI33" s="35">
        <f>IF(NOT(COUNTA(A33:AH33)&gt;0),"",IF(TEXTJOIN(", ",TRUE,IF(B33="","Название",""),IF(C33="","Тип недвижимости",""),IF(D33="","Страна",""),IF(E33="","Город",""),IF(F33="","Улица",""),IF(I33="","Валюта",""),IF(OR(AA33="",AA33&lt;1),"Хотя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земли",""),IF(OR(AF33="",AF33="Нет"),"Право собственности",""),IF(OR(AG33="",AG33="Нет"),"Справка об отсутствии обременений",""),IF(OR(W33="",W33&lt;=0),"Общая стоимость",""),IF(OR(X33="",X33&lt;=0),"Количество долей",""),IF(AND(X33&lt;&gt;"",X33&lt;&gt;INT(X33)),"Количество долей должно быть целым",""))="","",TEXTJOIN(", ",TRUE,IF(B33="","Название",""),IF(C33="","Тип недвижимости",""),IF(D33="","Страна",""),IF(E33="","Город",""),IF(F33="","Улица",""),IF(I33="","Валюта",""),IF(OR(AA33="",AA33&lt;1),"Хотя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земли",""),IF(OR(AF33="",AF33="Нет"),"Право собственности",""),IF(OR(AG33="",AG33="Нет"),"Справка об отсутствии обременений",""),IF(OR(W33="",W33&lt;=0),"Общая стоимость",""),IF(OR(X33="",X33&lt;=0),"Количество долей",""),IF(AND(X33&lt;&gt;"",X33&lt;&gt;INT(X33)),"Количество долей должно быть целым",""))))</f>
        <v/>
      </c>
      <c r="AJ33" s="35">
        <f>IF(NOT(COUNTA(A33:AH33)&gt;0),"",IF(TEXTJOIN(", ",TRUE,IF(AD33="","Описание",""),IF(AND(AA33&lt;&gt;"",AA33&gt;=1,AA33&lt;5),"Фото меньше 5",""),IF(AC33="","Видео",""),IF(H33="","Кадастровый номер",""),IF(AB33="","Ссылка на фото",""))="","",TEXTJOIN(", ",TRUE,IF(AD33="","Описание",""),IF(AND(AA33&lt;&gt;"",AA33&gt;=1,AA33&lt;5),"Фото меньше 5",""),IF(AC33="","Видео",""),IF(H33="","Кадастровый номер",""),IF(AB33="","Ссылка на фото",""))))</f>
        <v/>
      </c>
      <c r="AK33" s="35">
        <f>IF(NOT(COUNTA(A33:AH33)&gt;0),"",IF(AI33="","Можно публиковать","Не хватает"))</f>
        <v/>
      </c>
    </row>
    <row r="34" ht="22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7" t="n"/>
      <c r="K34" s="37" t="n"/>
      <c r="L34" s="37" t="n"/>
      <c r="M34" s="38" t="n"/>
      <c r="N34" s="38" t="n"/>
      <c r="O34" s="38" t="n"/>
      <c r="P34" s="38" t="n"/>
      <c r="Q34" s="38" t="n"/>
      <c r="R34" s="38" t="n"/>
      <c r="S34" s="36" t="n"/>
      <c r="T34" s="36" t="n"/>
      <c r="U34" s="36" t="n"/>
      <c r="V34" s="36" t="n"/>
      <c r="W34" s="39" t="n"/>
      <c r="X34" s="38" t="n"/>
      <c r="Y34" s="41">
        <f>IF(OR(W34="",X34="",X34&lt;=0),"",W34/X34)</f>
        <v/>
      </c>
      <c r="Z34" s="36" t="n"/>
      <c r="AA34" s="38" t="n"/>
      <c r="AB34" s="36" t="n"/>
      <c r="AC34" s="36" t="n"/>
      <c r="AD34" s="36" t="n"/>
      <c r="AE34" s="36" t="n"/>
      <c r="AF34" s="36" t="n"/>
      <c r="AG34" s="36" t="n"/>
      <c r="AH34" s="36" t="n"/>
      <c r="AI34" s="35">
        <f>IF(NOT(COUNTA(A34:AH34)&gt;0),"",IF(TEXTJOIN(", ",TRUE,IF(B34="","Название",""),IF(C34="","Тип недвижимости",""),IF(D34="","Страна",""),IF(E34="","Город",""),IF(F34="","Улица",""),IF(I34="","Валюта",""),IF(OR(AA34="",AA34&lt;1),"Хотя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земли",""),IF(OR(AF34="",AF34="Нет"),"Право собственности",""),IF(OR(AG34="",AG34="Нет"),"Справка об отсутствии обременений",""),IF(OR(W34="",W34&lt;=0),"Общая стоимость",""),IF(OR(X34="",X34&lt;=0),"Количество долей",""),IF(AND(X34&lt;&gt;"",X34&lt;&gt;INT(X34)),"Количество долей должно быть целым",""))="","",TEXTJOIN(", ",TRUE,IF(B34="","Название",""),IF(C34="","Тип недвижимости",""),IF(D34="","Страна",""),IF(E34="","Город",""),IF(F34="","Улица",""),IF(I34="","Валюта",""),IF(OR(AA34="",AA34&lt;1),"Хотя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земли",""),IF(OR(AF34="",AF34="Нет"),"Право собственности",""),IF(OR(AG34="",AG34="Нет"),"Справка об отсутствии обременений",""),IF(OR(W34="",W34&lt;=0),"Общая стоимость",""),IF(OR(X34="",X34&lt;=0),"Количество долей",""),IF(AND(X34&lt;&gt;"",X34&lt;&gt;INT(X34)),"Количество долей должно быть целым",""))))</f>
        <v/>
      </c>
      <c r="AJ34" s="35">
        <f>IF(NOT(COUNTA(A34:AH34)&gt;0),"",IF(TEXTJOIN(", ",TRUE,IF(AD34="","Описание",""),IF(AND(AA34&lt;&gt;"",AA34&gt;=1,AA34&lt;5),"Фото меньше 5",""),IF(AC34="","Видео",""),IF(H34="","Кадастровый номер",""),IF(AB34="","Ссылка на фото",""))="","",TEXTJOIN(", ",TRUE,IF(AD34="","Описание",""),IF(AND(AA34&lt;&gt;"",AA34&gt;=1,AA34&lt;5),"Фото меньше 5",""),IF(AC34="","Видео",""),IF(H34="","Кадастровый номер",""),IF(AB34="","Ссылка на фото",""))))</f>
        <v/>
      </c>
      <c r="AK34" s="35">
        <f>IF(NOT(COUNTA(A34:AH34)&gt;0),"",IF(AI34="","Можно публиковать","Не хватает"))</f>
        <v/>
      </c>
    </row>
    <row r="35" ht="22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 t="n"/>
      <c r="K35" s="31" t="n"/>
      <c r="L35" s="31" t="n"/>
      <c r="M35" s="32" t="n"/>
      <c r="N35" s="32" t="n"/>
      <c r="O35" s="32" t="n"/>
      <c r="P35" s="32" t="n"/>
      <c r="Q35" s="32" t="n"/>
      <c r="R35" s="32" t="n"/>
      <c r="S35" s="30" t="n"/>
      <c r="T35" s="30" t="n"/>
      <c r="U35" s="30" t="n"/>
      <c r="V35" s="30" t="n"/>
      <c r="W35" s="33" t="n"/>
      <c r="X35" s="32" t="n"/>
      <c r="Y35" s="41">
        <f>IF(OR(W35="",X35="",X35&lt;=0),"",W35/X35)</f>
        <v/>
      </c>
      <c r="Z35" s="30" t="n"/>
      <c r="AA35" s="32" t="n"/>
      <c r="AB35" s="30" t="n"/>
      <c r="AC35" s="30" t="n"/>
      <c r="AD35" s="30" t="n"/>
      <c r="AE35" s="30" t="n"/>
      <c r="AF35" s="30" t="n"/>
      <c r="AG35" s="30" t="n"/>
      <c r="AH35" s="30" t="n"/>
      <c r="AI35" s="35">
        <f>IF(NOT(COUNTA(A35:AH35)&gt;0),"",IF(TEXTJOIN(", ",TRUE,IF(B35="","Название",""),IF(C35="","Тип недвижимости",""),IF(D35="","Страна",""),IF(E35="","Город",""),IF(F35="","Улица",""),IF(I35="","Валюта",""),IF(OR(AA35="",AA35&lt;1),"Хотя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земли",""),IF(OR(AF35="",AF35="Нет"),"Право собственности",""),IF(OR(AG35="",AG35="Нет"),"Справка об отсутствии обременений",""),IF(OR(W35="",W35&lt;=0),"Общая стоимость",""),IF(OR(X35="",X35&lt;=0),"Количество долей",""),IF(AND(X35&lt;&gt;"",X35&lt;&gt;INT(X35)),"Количество долей должно быть целым",""))="","",TEXTJOIN(", ",TRUE,IF(B35="","Название",""),IF(C35="","Тип недвижимости",""),IF(D35="","Страна",""),IF(E35="","Город",""),IF(F35="","Улица",""),IF(I35="","Валюта",""),IF(OR(AA35="",AA35&lt;1),"Хотя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земли",""),IF(OR(AF35="",AF35="Нет"),"Право собственности",""),IF(OR(AG35="",AG35="Нет"),"Справка об отсутствии обременений",""),IF(OR(W35="",W35&lt;=0),"Общая стоимость",""),IF(OR(X35="",X35&lt;=0),"Количество долей",""),IF(AND(X35&lt;&gt;"",X35&lt;&gt;INT(X35)),"Количество долей должно быть целым",""))))</f>
        <v/>
      </c>
      <c r="AJ35" s="35">
        <f>IF(NOT(COUNTA(A35:AH35)&gt;0),"",IF(TEXTJOIN(", ",TRUE,IF(AD35="","Описание",""),IF(AND(AA35&lt;&gt;"",AA35&gt;=1,AA35&lt;5),"Фото меньше 5",""),IF(AC35="","Видео",""),IF(H35="","Кадастровый номер",""),IF(AB35="","Ссылка на фото",""))="","",TEXTJOIN(", ",TRUE,IF(AD35="","Описание",""),IF(AND(AA35&lt;&gt;"",AA35&gt;=1,AA35&lt;5),"Фото меньше 5",""),IF(AC35="","Видео",""),IF(H35="","Кадастровый номер",""),IF(AB35="","Ссылка на фото",""))))</f>
        <v/>
      </c>
      <c r="AK35" s="35">
        <f>IF(NOT(COUNTA(A35:AH35)&gt;0),"",IF(AI35="","Можно публиковать","Не хватает"))</f>
        <v/>
      </c>
    </row>
    <row r="36" ht="22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7" t="n"/>
      <c r="K36" s="37" t="n"/>
      <c r="L36" s="37" t="n"/>
      <c r="M36" s="38" t="n"/>
      <c r="N36" s="38" t="n"/>
      <c r="O36" s="38" t="n"/>
      <c r="P36" s="38" t="n"/>
      <c r="Q36" s="38" t="n"/>
      <c r="R36" s="38" t="n"/>
      <c r="S36" s="36" t="n"/>
      <c r="T36" s="36" t="n"/>
      <c r="U36" s="36" t="n"/>
      <c r="V36" s="36" t="n"/>
      <c r="W36" s="39" t="n"/>
      <c r="X36" s="38" t="n"/>
      <c r="Y36" s="41">
        <f>IF(OR(W36="",X36="",X36&lt;=0),"",W36/X36)</f>
        <v/>
      </c>
      <c r="Z36" s="36" t="n"/>
      <c r="AA36" s="38" t="n"/>
      <c r="AB36" s="36" t="n"/>
      <c r="AC36" s="36" t="n"/>
      <c r="AD36" s="36" t="n"/>
      <c r="AE36" s="36" t="n"/>
      <c r="AF36" s="36" t="n"/>
      <c r="AG36" s="36" t="n"/>
      <c r="AH36" s="36" t="n"/>
      <c r="AI36" s="35">
        <f>IF(NOT(COUNTA(A36:AH36)&gt;0),"",IF(TEXTJOIN(", ",TRUE,IF(B36="","Название",""),IF(C36="","Тип недвижимости",""),IF(D36="","Страна",""),IF(E36="","Город",""),IF(F36="","Улица",""),IF(I36="","Валюта",""),IF(OR(AA36="",AA36&lt;1),"Хотя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земли",""),IF(OR(AF36="",AF36="Нет"),"Право собственности",""),IF(OR(AG36="",AG36="Нет"),"Справка об отсутствии обременений",""),IF(OR(W36="",W36&lt;=0),"Общая стоимость",""),IF(OR(X36="",X36&lt;=0),"Количество долей",""),IF(AND(X36&lt;&gt;"",X36&lt;&gt;INT(X36)),"Количество долей должно быть целым",""))="","",TEXTJOIN(", ",TRUE,IF(B36="","Название",""),IF(C36="","Тип недвижимости",""),IF(D36="","Страна",""),IF(E36="","Город",""),IF(F36="","Улица",""),IF(I36="","Валюта",""),IF(OR(AA36="",AA36&lt;1),"Хотя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земли",""),IF(OR(AF36="",AF36="Нет"),"Право собственности",""),IF(OR(AG36="",AG36="Нет"),"Справка об отсутствии обременений",""),IF(OR(W36="",W36&lt;=0),"Общая стоимость",""),IF(OR(X36="",X36&lt;=0),"Количество долей",""),IF(AND(X36&lt;&gt;"",X36&lt;&gt;INT(X36)),"Количество долей должно быть целым",""))))</f>
        <v/>
      </c>
      <c r="AJ36" s="35">
        <f>IF(NOT(COUNTA(A36:AH36)&gt;0),"",IF(TEXTJOIN(", ",TRUE,IF(AD36="","Описание",""),IF(AND(AA36&lt;&gt;"",AA36&gt;=1,AA36&lt;5),"Фото меньше 5",""),IF(AC36="","Видео",""),IF(H36="","Кадастровый номер",""),IF(AB36="","Ссылка на фото",""))="","",TEXTJOIN(", ",TRUE,IF(AD36="","Описание",""),IF(AND(AA36&lt;&gt;"",AA36&gt;=1,AA36&lt;5),"Фото меньше 5",""),IF(AC36="","Видео",""),IF(H36="","Кадастровый номер",""),IF(AB36="","Ссылка на фото",""))))</f>
        <v/>
      </c>
      <c r="AK36" s="35">
        <f>IF(NOT(COUNTA(A36:AH36)&gt;0),"",IF(AI36="","Можно публиковать","Не хватает"))</f>
        <v/>
      </c>
    </row>
    <row r="37" ht="22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  <c r="K37" s="31" t="n"/>
      <c r="L37" s="31" t="n"/>
      <c r="M37" s="32" t="n"/>
      <c r="N37" s="32" t="n"/>
      <c r="O37" s="32" t="n"/>
      <c r="P37" s="32" t="n"/>
      <c r="Q37" s="32" t="n"/>
      <c r="R37" s="32" t="n"/>
      <c r="S37" s="30" t="n"/>
      <c r="T37" s="30" t="n"/>
      <c r="U37" s="30" t="n"/>
      <c r="V37" s="30" t="n"/>
      <c r="W37" s="33" t="n"/>
      <c r="X37" s="32" t="n"/>
      <c r="Y37" s="41">
        <f>IF(OR(W37="",X37="",X37&lt;=0),"",W37/X37)</f>
        <v/>
      </c>
      <c r="Z37" s="30" t="n"/>
      <c r="AA37" s="32" t="n"/>
      <c r="AB37" s="30" t="n"/>
      <c r="AC37" s="30" t="n"/>
      <c r="AD37" s="30" t="n"/>
      <c r="AE37" s="30" t="n"/>
      <c r="AF37" s="30" t="n"/>
      <c r="AG37" s="30" t="n"/>
      <c r="AH37" s="30" t="n"/>
      <c r="AI37" s="35">
        <f>IF(NOT(COUNTA(A37:AH37)&gt;0),"",IF(TEXTJOIN(", ",TRUE,IF(B37="","Название",""),IF(C37="","Тип недвижимости",""),IF(D37="","Страна",""),IF(E37="","Город",""),IF(F37="","Улица",""),IF(I37="","Валюта",""),IF(OR(AA37="",AA37&lt;1),"Хотя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земли",""),IF(OR(AF37="",AF37="Нет"),"Право собственности",""),IF(OR(AG37="",AG37="Нет"),"Справка об отсутствии обременений",""),IF(OR(W37="",W37&lt;=0),"Общая стоимость",""),IF(OR(X37="",X37&lt;=0),"Количество долей",""),IF(AND(X37&lt;&gt;"",X37&lt;&gt;INT(X37)),"Количество долей должно быть целым",""))="","",TEXTJOIN(", ",TRUE,IF(B37="","Название",""),IF(C37="","Тип недвижимости",""),IF(D37="","Страна",""),IF(E37="","Город",""),IF(F37="","Улица",""),IF(I37="","Валюта",""),IF(OR(AA37="",AA37&lt;1),"Хотя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земли",""),IF(OR(AF37="",AF37="Нет"),"Право собственности",""),IF(OR(AG37="",AG37="Нет"),"Справка об отсутствии обременений",""),IF(OR(W37="",W37&lt;=0),"Общая стоимость",""),IF(OR(X37="",X37&lt;=0),"Количество долей",""),IF(AND(X37&lt;&gt;"",X37&lt;&gt;INT(X37)),"Количество долей должно быть целым",""))))</f>
        <v/>
      </c>
      <c r="AJ37" s="35">
        <f>IF(NOT(COUNTA(A37:AH37)&gt;0),"",IF(TEXTJOIN(", ",TRUE,IF(AD37="","Описание",""),IF(AND(AA37&lt;&gt;"",AA37&gt;=1,AA37&lt;5),"Фото меньше 5",""),IF(AC37="","Видео",""),IF(H37="","Кадастровый номер",""),IF(AB37="","Ссылка на фото",""))="","",TEXTJOIN(", ",TRUE,IF(AD37="","Описание",""),IF(AND(AA37&lt;&gt;"",AA37&gt;=1,AA37&lt;5),"Фото меньше 5",""),IF(AC37="","Видео",""),IF(H37="","Кадастровый номер",""),IF(AB37="","Ссылка на фото",""))))</f>
        <v/>
      </c>
      <c r="AK37" s="35">
        <f>IF(NOT(COUNTA(A37:AH37)&gt;0),"",IF(AI37="","Можно публиковать","Не хватает"))</f>
        <v/>
      </c>
    </row>
    <row r="38" ht="22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7" t="n"/>
      <c r="K38" s="37" t="n"/>
      <c r="L38" s="37" t="n"/>
      <c r="M38" s="38" t="n"/>
      <c r="N38" s="38" t="n"/>
      <c r="O38" s="38" t="n"/>
      <c r="P38" s="38" t="n"/>
      <c r="Q38" s="38" t="n"/>
      <c r="R38" s="38" t="n"/>
      <c r="S38" s="36" t="n"/>
      <c r="T38" s="36" t="n"/>
      <c r="U38" s="36" t="n"/>
      <c r="V38" s="36" t="n"/>
      <c r="W38" s="39" t="n"/>
      <c r="X38" s="38" t="n"/>
      <c r="Y38" s="41">
        <f>IF(OR(W38="",X38="",X38&lt;=0),"",W38/X38)</f>
        <v/>
      </c>
      <c r="Z38" s="36" t="n"/>
      <c r="AA38" s="38" t="n"/>
      <c r="AB38" s="36" t="n"/>
      <c r="AC38" s="36" t="n"/>
      <c r="AD38" s="36" t="n"/>
      <c r="AE38" s="36" t="n"/>
      <c r="AF38" s="36" t="n"/>
      <c r="AG38" s="36" t="n"/>
      <c r="AH38" s="36" t="n"/>
      <c r="AI38" s="35">
        <f>IF(NOT(COUNTA(A38:AH38)&gt;0),"",IF(TEXTJOIN(", ",TRUE,IF(B38="","Название",""),IF(C38="","Тип недвижимости",""),IF(D38="","Страна",""),IF(E38="","Город",""),IF(F38="","Улица",""),IF(I38="","Валюта",""),IF(OR(AA38="",AA38&lt;1),"Хотя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земли",""),IF(OR(AF38="",AF38="Нет"),"Право собственности",""),IF(OR(AG38="",AG38="Нет"),"Справка об отсутствии обременений",""),IF(OR(W38="",W38&lt;=0),"Общая стоимость",""),IF(OR(X38="",X38&lt;=0),"Количество долей",""),IF(AND(X38&lt;&gt;"",X38&lt;&gt;INT(X38)),"Количество долей должно быть целым",""))="","",TEXTJOIN(", ",TRUE,IF(B38="","Название",""),IF(C38="","Тип недвижимости",""),IF(D38="","Страна",""),IF(E38="","Город",""),IF(F38="","Улица",""),IF(I38="","Валюта",""),IF(OR(AA38="",AA38&lt;1),"Хотя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земли",""),IF(OR(AF38="",AF38="Нет"),"Право собственности",""),IF(OR(AG38="",AG38="Нет"),"Справка об отсутствии обременений",""),IF(OR(W38="",W38&lt;=0),"Общая стоимость",""),IF(OR(X38="",X38&lt;=0),"Количество долей",""),IF(AND(X38&lt;&gt;"",X38&lt;&gt;INT(X38)),"Количество долей должно быть целым",""))))</f>
        <v/>
      </c>
      <c r="AJ38" s="35">
        <f>IF(NOT(COUNTA(A38:AH38)&gt;0),"",IF(TEXTJOIN(", ",TRUE,IF(AD38="","Описание",""),IF(AND(AA38&lt;&gt;"",AA38&gt;=1,AA38&lt;5),"Фото меньше 5",""),IF(AC38="","Видео",""),IF(H38="","Кадастровый номер",""),IF(AB38="","Ссылка на фото",""))="","",TEXTJOIN(", ",TRUE,IF(AD38="","Описание",""),IF(AND(AA38&lt;&gt;"",AA38&gt;=1,AA38&lt;5),"Фото меньше 5",""),IF(AC38="","Видео",""),IF(H38="","Кадастровый номер",""),IF(AB38="","Ссылка на фото",""))))</f>
        <v/>
      </c>
      <c r="AK38" s="35">
        <f>IF(NOT(COUNTA(A38:AH38)&gt;0),"",IF(AI38="","Можно публиковать","Не хватает"))</f>
        <v/>
      </c>
    </row>
    <row r="39" ht="22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 t="n"/>
      <c r="K39" s="31" t="n"/>
      <c r="L39" s="31" t="n"/>
      <c r="M39" s="32" t="n"/>
      <c r="N39" s="32" t="n"/>
      <c r="O39" s="32" t="n"/>
      <c r="P39" s="32" t="n"/>
      <c r="Q39" s="32" t="n"/>
      <c r="R39" s="32" t="n"/>
      <c r="S39" s="30" t="n"/>
      <c r="T39" s="30" t="n"/>
      <c r="U39" s="30" t="n"/>
      <c r="V39" s="30" t="n"/>
      <c r="W39" s="33" t="n"/>
      <c r="X39" s="32" t="n"/>
      <c r="Y39" s="41">
        <f>IF(OR(W39="",X39="",X39&lt;=0),"",W39/X39)</f>
        <v/>
      </c>
      <c r="Z39" s="30" t="n"/>
      <c r="AA39" s="32" t="n"/>
      <c r="AB39" s="30" t="n"/>
      <c r="AC39" s="30" t="n"/>
      <c r="AD39" s="30" t="n"/>
      <c r="AE39" s="30" t="n"/>
      <c r="AF39" s="30" t="n"/>
      <c r="AG39" s="30" t="n"/>
      <c r="AH39" s="30" t="n"/>
      <c r="AI39" s="35">
        <f>IF(NOT(COUNTA(A39:AH39)&gt;0),"",IF(TEXTJOIN(", ",TRUE,IF(B39="","Название",""),IF(C39="","Тип недвижимости",""),IF(D39="","Страна",""),IF(E39="","Город",""),IF(F39="","Улица",""),IF(I39="","Валюта",""),IF(OR(AA39="",AA39&lt;1),"Хотя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земли",""),IF(OR(AF39="",AF39="Нет"),"Право собственности",""),IF(OR(AG39="",AG39="Нет"),"Справка об отсутствии обременений",""),IF(OR(W39="",W39&lt;=0),"Общая стоимость",""),IF(OR(X39="",X39&lt;=0),"Количество долей",""),IF(AND(X39&lt;&gt;"",X39&lt;&gt;INT(X39)),"Количество долей должно быть целым",""))="","",TEXTJOIN(", ",TRUE,IF(B39="","Название",""),IF(C39="","Тип недвижимости",""),IF(D39="","Страна",""),IF(E39="","Город",""),IF(F39="","Улица",""),IF(I39="","Валюта",""),IF(OR(AA39="",AA39&lt;1),"Хотя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земли",""),IF(OR(AF39="",AF39="Нет"),"Право собственности",""),IF(OR(AG39="",AG39="Нет"),"Справка об отсутствии обременений",""),IF(OR(W39="",W39&lt;=0),"Общая стоимость",""),IF(OR(X39="",X39&lt;=0),"Количество долей",""),IF(AND(X39&lt;&gt;"",X39&lt;&gt;INT(X39)),"Количество долей должно быть целым",""))))</f>
        <v/>
      </c>
      <c r="AJ39" s="35">
        <f>IF(NOT(COUNTA(A39:AH39)&gt;0),"",IF(TEXTJOIN(", ",TRUE,IF(AD39="","Описание",""),IF(AND(AA39&lt;&gt;"",AA39&gt;=1,AA39&lt;5),"Фото меньше 5",""),IF(AC39="","Видео",""),IF(H39="","Кадастровый номер",""),IF(AB39="","Ссылка на фото",""))="","",TEXTJOIN(", ",TRUE,IF(AD39="","Описание",""),IF(AND(AA39&lt;&gt;"",AA39&gt;=1,AA39&lt;5),"Фото меньше 5",""),IF(AC39="","Видео",""),IF(H39="","Кадастровый номер",""),IF(AB39="","Ссылка на фото",""))))</f>
        <v/>
      </c>
      <c r="AK39" s="35">
        <f>IF(NOT(COUNTA(A39:AH39)&gt;0),"",IF(AI39="","Можно публиковать","Не хватает"))</f>
        <v/>
      </c>
    </row>
    <row r="40" ht="22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7" t="n"/>
      <c r="K40" s="37" t="n"/>
      <c r="L40" s="37" t="n"/>
      <c r="M40" s="38" t="n"/>
      <c r="N40" s="38" t="n"/>
      <c r="O40" s="38" t="n"/>
      <c r="P40" s="38" t="n"/>
      <c r="Q40" s="38" t="n"/>
      <c r="R40" s="38" t="n"/>
      <c r="S40" s="36" t="n"/>
      <c r="T40" s="36" t="n"/>
      <c r="U40" s="36" t="n"/>
      <c r="V40" s="36" t="n"/>
      <c r="W40" s="39" t="n"/>
      <c r="X40" s="38" t="n"/>
      <c r="Y40" s="41">
        <f>IF(OR(W40="",X40="",X40&lt;=0),"",W40/X40)</f>
        <v/>
      </c>
      <c r="Z40" s="36" t="n"/>
      <c r="AA40" s="38" t="n"/>
      <c r="AB40" s="36" t="n"/>
      <c r="AC40" s="36" t="n"/>
      <c r="AD40" s="36" t="n"/>
      <c r="AE40" s="36" t="n"/>
      <c r="AF40" s="36" t="n"/>
      <c r="AG40" s="36" t="n"/>
      <c r="AH40" s="36" t="n"/>
      <c r="AI40" s="35">
        <f>IF(NOT(COUNTA(A40:AH40)&gt;0),"",IF(TEXTJOIN(", ",TRUE,IF(B40="","Название",""),IF(C40="","Тип недвижимости",""),IF(D40="","Страна",""),IF(E40="","Город",""),IF(F40="","Улица",""),IF(I40="","Валюта",""),IF(OR(AA40="",AA40&lt;1),"Хотя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земли",""),IF(OR(AF40="",AF40="Нет"),"Право собственности",""),IF(OR(AG40="",AG40="Нет"),"Справка об отсутствии обременений",""),IF(OR(W40="",W40&lt;=0),"Общая стоимость",""),IF(OR(X40="",X40&lt;=0),"Количество долей",""),IF(AND(X40&lt;&gt;"",X40&lt;&gt;INT(X40)),"Количество долей должно быть целым",""))="","",TEXTJOIN(", ",TRUE,IF(B40="","Название",""),IF(C40="","Тип недвижимости",""),IF(D40="","Страна",""),IF(E40="","Город",""),IF(F40="","Улица",""),IF(I40="","Валюта",""),IF(OR(AA40="",AA40&lt;1),"Хотя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земли",""),IF(OR(AF40="",AF40="Нет"),"Право собственности",""),IF(OR(AG40="",AG40="Нет"),"Справка об отсутствии обременений",""),IF(OR(W40="",W40&lt;=0),"Общая стоимость",""),IF(OR(X40="",X40&lt;=0),"Количество долей",""),IF(AND(X40&lt;&gt;"",X40&lt;&gt;INT(X40)),"Количество долей должно быть целым",""))))</f>
        <v/>
      </c>
      <c r="AJ40" s="35">
        <f>IF(NOT(COUNTA(A40:AH40)&gt;0),"",IF(TEXTJOIN(", ",TRUE,IF(AD40="","Описание",""),IF(AND(AA40&lt;&gt;"",AA40&gt;=1,AA40&lt;5),"Фото меньше 5",""),IF(AC40="","Видео",""),IF(H40="","Кадастровый номер",""),IF(AB40="","Ссылка на фото",""))="","",TEXTJOIN(", ",TRUE,IF(AD40="","Описание",""),IF(AND(AA40&lt;&gt;"",AA40&gt;=1,AA40&lt;5),"Фото меньше 5",""),IF(AC40="","Видео",""),IF(H40="","Кадастровый номер",""),IF(AB40="","Ссылка на фото",""))))</f>
        <v/>
      </c>
      <c r="AK40" s="35">
        <f>IF(NOT(COUNTA(A40:AH40)&gt;0),"",IF(AI40="","Можно публиковать","Не хватает"))</f>
        <v/>
      </c>
    </row>
    <row r="41" ht="22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  <c r="K41" s="31" t="n"/>
      <c r="L41" s="31" t="n"/>
      <c r="M41" s="32" t="n"/>
      <c r="N41" s="32" t="n"/>
      <c r="O41" s="32" t="n"/>
      <c r="P41" s="32" t="n"/>
      <c r="Q41" s="32" t="n"/>
      <c r="R41" s="32" t="n"/>
      <c r="S41" s="30" t="n"/>
      <c r="T41" s="30" t="n"/>
      <c r="U41" s="30" t="n"/>
      <c r="V41" s="30" t="n"/>
      <c r="W41" s="33" t="n"/>
      <c r="X41" s="32" t="n"/>
      <c r="Y41" s="41">
        <f>IF(OR(W41="",X41="",X41&lt;=0),"",W41/X41)</f>
        <v/>
      </c>
      <c r="Z41" s="30" t="n"/>
      <c r="AA41" s="32" t="n"/>
      <c r="AB41" s="30" t="n"/>
      <c r="AC41" s="30" t="n"/>
      <c r="AD41" s="30" t="n"/>
      <c r="AE41" s="30" t="n"/>
      <c r="AF41" s="30" t="n"/>
      <c r="AG41" s="30" t="n"/>
      <c r="AH41" s="30" t="n"/>
      <c r="AI41" s="35">
        <f>IF(NOT(COUNTA(A41:AH41)&gt;0),"",IF(TEXTJOIN(", ",TRUE,IF(B41="","Название",""),IF(C41="","Тип недвижимости",""),IF(D41="","Страна",""),IF(E41="","Город",""),IF(F41="","Улица",""),IF(I41="","Валюта",""),IF(OR(AA41="",AA41&lt;1),"Хотя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земли",""),IF(OR(AF41="",AF41="Нет"),"Право собственности",""),IF(OR(AG41="",AG41="Нет"),"Справка об отсутствии обременений",""),IF(OR(W41="",W41&lt;=0),"Общая стоимость",""),IF(OR(X41="",X41&lt;=0),"Количество долей",""),IF(AND(X41&lt;&gt;"",X41&lt;&gt;INT(X41)),"Количество долей должно быть целым",""))="","",TEXTJOIN(", ",TRUE,IF(B41="","Название",""),IF(C41="","Тип недвижимости",""),IF(D41="","Страна",""),IF(E41="","Город",""),IF(F41="","Улица",""),IF(I41="","Валюта",""),IF(OR(AA41="",AA41&lt;1),"Хотя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земли",""),IF(OR(AF41="",AF41="Нет"),"Право собственности",""),IF(OR(AG41="",AG41="Нет"),"Справка об отсутствии обременений",""),IF(OR(W41="",W41&lt;=0),"Общая стоимость",""),IF(OR(X41="",X41&lt;=0),"Количество долей",""),IF(AND(X41&lt;&gt;"",X41&lt;&gt;INT(X41)),"Количество долей должно быть целым",""))))</f>
        <v/>
      </c>
      <c r="AJ41" s="35">
        <f>IF(NOT(COUNTA(A41:AH41)&gt;0),"",IF(TEXTJOIN(", ",TRUE,IF(AD41="","Описание",""),IF(AND(AA41&lt;&gt;"",AA41&gt;=1,AA41&lt;5),"Фото меньше 5",""),IF(AC41="","Видео",""),IF(H41="","Кадастровый номер",""),IF(AB41="","Ссылка на фото",""))="","",TEXTJOIN(", ",TRUE,IF(AD41="","Описание",""),IF(AND(AA41&lt;&gt;"",AA41&gt;=1,AA41&lt;5),"Фото меньше 5",""),IF(AC41="","Видео",""),IF(H41="","Кадастровый номер",""),IF(AB41="","Ссылка на фото",""))))</f>
        <v/>
      </c>
      <c r="AK41" s="35">
        <f>IF(NOT(COUNTA(A41:AH41)&gt;0),"",IF(AI41="","Можно публиковать","Не хватает"))</f>
        <v/>
      </c>
    </row>
    <row r="42" ht="22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7" t="n"/>
      <c r="K42" s="37" t="n"/>
      <c r="L42" s="37" t="n"/>
      <c r="M42" s="38" t="n"/>
      <c r="N42" s="38" t="n"/>
      <c r="O42" s="38" t="n"/>
      <c r="P42" s="38" t="n"/>
      <c r="Q42" s="38" t="n"/>
      <c r="R42" s="38" t="n"/>
      <c r="S42" s="36" t="n"/>
      <c r="T42" s="36" t="n"/>
      <c r="U42" s="36" t="n"/>
      <c r="V42" s="36" t="n"/>
      <c r="W42" s="39" t="n"/>
      <c r="X42" s="38" t="n"/>
      <c r="Y42" s="41">
        <f>IF(OR(W42="",X42="",X42&lt;=0),"",W42/X42)</f>
        <v/>
      </c>
      <c r="Z42" s="36" t="n"/>
      <c r="AA42" s="38" t="n"/>
      <c r="AB42" s="36" t="n"/>
      <c r="AC42" s="36" t="n"/>
      <c r="AD42" s="36" t="n"/>
      <c r="AE42" s="36" t="n"/>
      <c r="AF42" s="36" t="n"/>
      <c r="AG42" s="36" t="n"/>
      <c r="AH42" s="36" t="n"/>
      <c r="AI42" s="35">
        <f>IF(NOT(COUNTA(A42:AH42)&gt;0),"",IF(TEXTJOIN(", ",TRUE,IF(B42="","Название",""),IF(C42="","Тип недвижимости",""),IF(D42="","Страна",""),IF(E42="","Город",""),IF(F42="","Улица",""),IF(I42="","Валюта",""),IF(OR(AA42="",AA42&lt;1),"Хотя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земли",""),IF(OR(AF42="",AF42="Нет"),"Право собственности",""),IF(OR(AG42="",AG42="Нет"),"Справка об отсутствии обременений",""),IF(OR(W42="",W42&lt;=0),"Общая стоимость",""),IF(OR(X42="",X42&lt;=0),"Количество долей",""),IF(AND(X42&lt;&gt;"",X42&lt;&gt;INT(X42)),"Количество долей должно быть целым",""))="","",TEXTJOIN(", ",TRUE,IF(B42="","Название",""),IF(C42="","Тип недвижимости",""),IF(D42="","Страна",""),IF(E42="","Город",""),IF(F42="","Улица",""),IF(I42="","Валюта",""),IF(OR(AA42="",AA42&lt;1),"Хотя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земли",""),IF(OR(AF42="",AF42="Нет"),"Право собственности",""),IF(OR(AG42="",AG42="Нет"),"Справка об отсутствии обременений",""),IF(OR(W42="",W42&lt;=0),"Общая стоимость",""),IF(OR(X42="",X42&lt;=0),"Количество долей",""),IF(AND(X42&lt;&gt;"",X42&lt;&gt;INT(X42)),"Количество долей должно быть целым",""))))</f>
        <v/>
      </c>
      <c r="AJ42" s="35">
        <f>IF(NOT(COUNTA(A42:AH42)&gt;0),"",IF(TEXTJOIN(", ",TRUE,IF(AD42="","Описание",""),IF(AND(AA42&lt;&gt;"",AA42&gt;=1,AA42&lt;5),"Фото меньше 5",""),IF(AC42="","Видео",""),IF(H42="","Кадастровый номер",""),IF(AB42="","Ссылка на фото",""))="","",TEXTJOIN(", ",TRUE,IF(AD42="","Описание",""),IF(AND(AA42&lt;&gt;"",AA42&gt;=1,AA42&lt;5),"Фото меньше 5",""),IF(AC42="","Видео",""),IF(H42="","Кадастровый номер",""),IF(AB42="","Ссылка на фото",""))))</f>
        <v/>
      </c>
      <c r="AK42" s="35">
        <f>IF(NOT(COUNTA(A42:AH42)&gt;0),"",IF(AI42="","Можно публиковать","Не хватает"))</f>
        <v/>
      </c>
    </row>
    <row r="43" ht="22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 t="n"/>
      <c r="K43" s="31" t="n"/>
      <c r="L43" s="31" t="n"/>
      <c r="M43" s="32" t="n"/>
      <c r="N43" s="32" t="n"/>
      <c r="O43" s="32" t="n"/>
      <c r="P43" s="32" t="n"/>
      <c r="Q43" s="32" t="n"/>
      <c r="R43" s="32" t="n"/>
      <c r="S43" s="30" t="n"/>
      <c r="T43" s="30" t="n"/>
      <c r="U43" s="30" t="n"/>
      <c r="V43" s="30" t="n"/>
      <c r="W43" s="33" t="n"/>
      <c r="X43" s="32" t="n"/>
      <c r="Y43" s="41">
        <f>IF(OR(W43="",X43="",X43&lt;=0),"",W43/X43)</f>
        <v/>
      </c>
      <c r="Z43" s="30" t="n"/>
      <c r="AA43" s="32" t="n"/>
      <c r="AB43" s="30" t="n"/>
      <c r="AC43" s="30" t="n"/>
      <c r="AD43" s="30" t="n"/>
      <c r="AE43" s="30" t="n"/>
      <c r="AF43" s="30" t="n"/>
      <c r="AG43" s="30" t="n"/>
      <c r="AH43" s="30" t="n"/>
      <c r="AI43" s="35">
        <f>IF(NOT(COUNTA(A43:AH43)&gt;0),"",IF(TEXTJOIN(", ",TRUE,IF(B43="","Название",""),IF(C43="","Тип недвижимости",""),IF(D43="","Страна",""),IF(E43="","Город",""),IF(F43="","Улица",""),IF(I43="","Валюта",""),IF(OR(AA43="",AA43&lt;1),"Хотя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земли",""),IF(OR(AF43="",AF43="Нет"),"Право собственности",""),IF(OR(AG43="",AG43="Нет"),"Справка об отсутствии обременений",""),IF(OR(W43="",W43&lt;=0),"Общая стоимость",""),IF(OR(X43="",X43&lt;=0),"Количество долей",""),IF(AND(X43&lt;&gt;"",X43&lt;&gt;INT(X43)),"Количество долей должно быть целым",""))="","",TEXTJOIN(", ",TRUE,IF(B43="","Название",""),IF(C43="","Тип недвижимости",""),IF(D43="","Страна",""),IF(E43="","Город",""),IF(F43="","Улица",""),IF(I43="","Валюта",""),IF(OR(AA43="",AA43&lt;1),"Хотя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земли",""),IF(OR(AF43="",AF43="Нет"),"Право собственности",""),IF(OR(AG43="",AG43="Нет"),"Справка об отсутствии обременений",""),IF(OR(W43="",W43&lt;=0),"Общая стоимость",""),IF(OR(X43="",X43&lt;=0),"Количество долей",""),IF(AND(X43&lt;&gt;"",X43&lt;&gt;INT(X43)),"Количество долей должно быть целым",""))))</f>
        <v/>
      </c>
      <c r="AJ43" s="35">
        <f>IF(NOT(COUNTA(A43:AH43)&gt;0),"",IF(TEXTJOIN(", ",TRUE,IF(AD43="","Описание",""),IF(AND(AA43&lt;&gt;"",AA43&gt;=1,AA43&lt;5),"Фото меньше 5",""),IF(AC43="","Видео",""),IF(H43="","Кадастровый номер",""),IF(AB43="","Ссылка на фото",""))="","",TEXTJOIN(", ",TRUE,IF(AD43="","Описание",""),IF(AND(AA43&lt;&gt;"",AA43&gt;=1,AA43&lt;5),"Фото меньше 5",""),IF(AC43="","Видео",""),IF(H43="","Кадастровый номер",""),IF(AB43="","Ссылка на фото",""))))</f>
        <v/>
      </c>
      <c r="AK43" s="35">
        <f>IF(NOT(COUNTA(A43:AH43)&gt;0),"",IF(AI43="","Можно публиковать","Не хватает"))</f>
        <v/>
      </c>
    </row>
    <row r="44" ht="22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7" t="n"/>
      <c r="K44" s="37" t="n"/>
      <c r="L44" s="37" t="n"/>
      <c r="M44" s="38" t="n"/>
      <c r="N44" s="38" t="n"/>
      <c r="O44" s="38" t="n"/>
      <c r="P44" s="38" t="n"/>
      <c r="Q44" s="38" t="n"/>
      <c r="R44" s="38" t="n"/>
      <c r="S44" s="36" t="n"/>
      <c r="T44" s="36" t="n"/>
      <c r="U44" s="36" t="n"/>
      <c r="V44" s="36" t="n"/>
      <c r="W44" s="39" t="n"/>
      <c r="X44" s="38" t="n"/>
      <c r="Y44" s="41">
        <f>IF(OR(W44="",X44="",X44&lt;=0),"",W44/X44)</f>
        <v/>
      </c>
      <c r="Z44" s="36" t="n"/>
      <c r="AA44" s="38" t="n"/>
      <c r="AB44" s="36" t="n"/>
      <c r="AC44" s="36" t="n"/>
      <c r="AD44" s="36" t="n"/>
      <c r="AE44" s="36" t="n"/>
      <c r="AF44" s="36" t="n"/>
      <c r="AG44" s="36" t="n"/>
      <c r="AH44" s="36" t="n"/>
      <c r="AI44" s="35">
        <f>IF(NOT(COUNTA(A44:AH44)&gt;0),"",IF(TEXTJOIN(", ",TRUE,IF(B44="","Название",""),IF(C44="","Тип недвижимости",""),IF(D44="","Страна",""),IF(E44="","Город",""),IF(F44="","Улица",""),IF(I44="","Валюта",""),IF(OR(AA44="",AA44&lt;1),"Хотя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земли",""),IF(OR(AF44="",AF44="Нет"),"Право собственности",""),IF(OR(AG44="",AG44="Нет"),"Справка об отсутствии обременений",""),IF(OR(W44="",W44&lt;=0),"Общая стоимость",""),IF(OR(X44="",X44&lt;=0),"Количество долей",""),IF(AND(X44&lt;&gt;"",X44&lt;&gt;INT(X44)),"Количество долей должно быть целым",""))="","",TEXTJOIN(", ",TRUE,IF(B44="","Название",""),IF(C44="","Тип недвижимости",""),IF(D44="","Страна",""),IF(E44="","Город",""),IF(F44="","Улица",""),IF(I44="","Валюта",""),IF(OR(AA44="",AA44&lt;1),"Хотя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земли",""),IF(OR(AF44="",AF44="Нет"),"Право собственности",""),IF(OR(AG44="",AG44="Нет"),"Справка об отсутствии обременений",""),IF(OR(W44="",W44&lt;=0),"Общая стоимость",""),IF(OR(X44="",X44&lt;=0),"Количество долей",""),IF(AND(X44&lt;&gt;"",X44&lt;&gt;INT(X44)),"Количество долей должно быть целым",""))))</f>
        <v/>
      </c>
      <c r="AJ44" s="35">
        <f>IF(NOT(COUNTA(A44:AH44)&gt;0),"",IF(TEXTJOIN(", ",TRUE,IF(AD44="","Описание",""),IF(AND(AA44&lt;&gt;"",AA44&gt;=1,AA44&lt;5),"Фото меньше 5",""),IF(AC44="","Видео",""),IF(H44="","Кадастровый номер",""),IF(AB44="","Ссылка на фото",""))="","",TEXTJOIN(", ",TRUE,IF(AD44="","Описание",""),IF(AND(AA44&lt;&gt;"",AA44&gt;=1,AA44&lt;5),"Фото меньше 5",""),IF(AC44="","Видео",""),IF(H44="","Кадастровый номер",""),IF(AB44="","Ссылка на фото",""))))</f>
        <v/>
      </c>
      <c r="AK44" s="35">
        <f>IF(NOT(COUNTA(A44:AH44)&gt;0),"",IF(AI44="","Можно публиковать","Не хватает"))</f>
        <v/>
      </c>
    </row>
    <row r="45" ht="22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31" t="n"/>
      <c r="L45" s="31" t="n"/>
      <c r="M45" s="32" t="n"/>
      <c r="N45" s="32" t="n"/>
      <c r="O45" s="32" t="n"/>
      <c r="P45" s="32" t="n"/>
      <c r="Q45" s="32" t="n"/>
      <c r="R45" s="32" t="n"/>
      <c r="S45" s="30" t="n"/>
      <c r="T45" s="30" t="n"/>
      <c r="U45" s="30" t="n"/>
      <c r="V45" s="30" t="n"/>
      <c r="W45" s="33" t="n"/>
      <c r="X45" s="32" t="n"/>
      <c r="Y45" s="41">
        <f>IF(OR(W45="",X45="",X45&lt;=0),"",W45/X45)</f>
        <v/>
      </c>
      <c r="Z45" s="30" t="n"/>
      <c r="AA45" s="32" t="n"/>
      <c r="AB45" s="30" t="n"/>
      <c r="AC45" s="30" t="n"/>
      <c r="AD45" s="30" t="n"/>
      <c r="AE45" s="30" t="n"/>
      <c r="AF45" s="30" t="n"/>
      <c r="AG45" s="30" t="n"/>
      <c r="AH45" s="30" t="n"/>
      <c r="AI45" s="35">
        <f>IF(NOT(COUNTA(A45:AH45)&gt;0),"",IF(TEXTJOIN(", ",TRUE,IF(B45="","Название",""),IF(C45="","Тип недвижимости",""),IF(D45="","Страна",""),IF(E45="","Город",""),IF(F45="","Улица",""),IF(I45="","Валюта",""),IF(OR(AA45="",AA45&lt;1),"Хотя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земли",""),IF(OR(AF45="",AF45="Нет"),"Право собственности",""),IF(OR(AG45="",AG45="Нет"),"Справка об отсутствии обременений",""),IF(OR(W45="",W45&lt;=0),"Общая стоимость",""),IF(OR(X45="",X45&lt;=0),"Количество долей",""),IF(AND(X45&lt;&gt;"",X45&lt;&gt;INT(X45)),"Количество долей должно быть целым",""))="","",TEXTJOIN(", ",TRUE,IF(B45="","Название",""),IF(C45="","Тип недвижимости",""),IF(D45="","Страна",""),IF(E45="","Город",""),IF(F45="","Улица",""),IF(I45="","Валюта",""),IF(OR(AA45="",AA45&lt;1),"Хотя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земли",""),IF(OR(AF45="",AF45="Нет"),"Право собственности",""),IF(OR(AG45="",AG45="Нет"),"Справка об отсутствии обременений",""),IF(OR(W45="",W45&lt;=0),"Общая стоимость",""),IF(OR(X45="",X45&lt;=0),"Количество долей",""),IF(AND(X45&lt;&gt;"",X45&lt;&gt;INT(X45)),"Количество долей должно быть целым",""))))</f>
        <v/>
      </c>
      <c r="AJ45" s="35">
        <f>IF(NOT(COUNTA(A45:AH45)&gt;0),"",IF(TEXTJOIN(", ",TRUE,IF(AD45="","Описание",""),IF(AND(AA45&lt;&gt;"",AA45&gt;=1,AA45&lt;5),"Фото меньше 5",""),IF(AC45="","Видео",""),IF(H45="","Кадастровый номер",""),IF(AB45="","Ссылка на фото",""))="","",TEXTJOIN(", ",TRUE,IF(AD45="","Описание",""),IF(AND(AA45&lt;&gt;"",AA45&gt;=1,AA45&lt;5),"Фото меньше 5",""),IF(AC45="","Видео",""),IF(H45="","Кадастровый номер",""),IF(AB45="","Ссылка на фото",""))))</f>
        <v/>
      </c>
      <c r="AK45" s="35">
        <f>IF(NOT(COUNTA(A45:AH45)&gt;0),"",IF(AI45="","Можно публиковать","Не хватает"))</f>
        <v/>
      </c>
    </row>
    <row r="46" ht="22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7" t="n"/>
      <c r="K46" s="37" t="n"/>
      <c r="L46" s="37" t="n"/>
      <c r="M46" s="38" t="n"/>
      <c r="N46" s="38" t="n"/>
      <c r="O46" s="38" t="n"/>
      <c r="P46" s="38" t="n"/>
      <c r="Q46" s="38" t="n"/>
      <c r="R46" s="38" t="n"/>
      <c r="S46" s="36" t="n"/>
      <c r="T46" s="36" t="n"/>
      <c r="U46" s="36" t="n"/>
      <c r="V46" s="36" t="n"/>
      <c r="W46" s="39" t="n"/>
      <c r="X46" s="38" t="n"/>
      <c r="Y46" s="41">
        <f>IF(OR(W46="",X46="",X46&lt;=0),"",W46/X46)</f>
        <v/>
      </c>
      <c r="Z46" s="36" t="n"/>
      <c r="AA46" s="38" t="n"/>
      <c r="AB46" s="36" t="n"/>
      <c r="AC46" s="36" t="n"/>
      <c r="AD46" s="36" t="n"/>
      <c r="AE46" s="36" t="n"/>
      <c r="AF46" s="36" t="n"/>
      <c r="AG46" s="36" t="n"/>
      <c r="AH46" s="36" t="n"/>
      <c r="AI46" s="35">
        <f>IF(NOT(COUNTA(A46:AH46)&gt;0),"",IF(TEXTJOIN(", ",TRUE,IF(B46="","Название",""),IF(C46="","Тип недвижимости",""),IF(D46="","Страна",""),IF(E46="","Город",""),IF(F46="","Улица",""),IF(I46="","Валюта",""),IF(OR(AA46="",AA46&lt;1),"Хотя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земли",""),IF(OR(AF46="",AF46="Нет"),"Право собственности",""),IF(OR(AG46="",AG46="Нет"),"Справка об отсутствии обременений",""),IF(OR(W46="",W46&lt;=0),"Общая стоимость",""),IF(OR(X46="",X46&lt;=0),"Количество долей",""),IF(AND(X46&lt;&gt;"",X46&lt;&gt;INT(X46)),"Количество долей должно быть целым",""))="","",TEXTJOIN(", ",TRUE,IF(B46="","Название",""),IF(C46="","Тип недвижимости",""),IF(D46="","Страна",""),IF(E46="","Город",""),IF(F46="","Улица",""),IF(I46="","Валюта",""),IF(OR(AA46="",AA46&lt;1),"Хотя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земли",""),IF(OR(AF46="",AF46="Нет"),"Право собственности",""),IF(OR(AG46="",AG46="Нет"),"Справка об отсутствии обременений",""),IF(OR(W46="",W46&lt;=0),"Общая стоимость",""),IF(OR(X46="",X46&lt;=0),"Количество долей",""),IF(AND(X46&lt;&gt;"",X46&lt;&gt;INT(X46)),"Количество долей должно быть целым",""))))</f>
        <v/>
      </c>
      <c r="AJ46" s="35">
        <f>IF(NOT(COUNTA(A46:AH46)&gt;0),"",IF(TEXTJOIN(", ",TRUE,IF(AD46="","Описание",""),IF(AND(AA46&lt;&gt;"",AA46&gt;=1,AA46&lt;5),"Фото меньше 5",""),IF(AC46="","Видео",""),IF(H46="","Кадастровый номер",""),IF(AB46="","Ссылка на фото",""))="","",TEXTJOIN(", ",TRUE,IF(AD46="","Описание",""),IF(AND(AA46&lt;&gt;"",AA46&gt;=1,AA46&lt;5),"Фото меньше 5",""),IF(AC46="","Видео",""),IF(H46="","Кадастровый номер",""),IF(AB46="","Ссылка на фото",""))))</f>
        <v/>
      </c>
      <c r="AK46" s="35">
        <f>IF(NOT(COUNTA(A46:AH46)&gt;0),"",IF(AI46="","Можно публиковать","Не хватает"))</f>
        <v/>
      </c>
    </row>
    <row r="47" ht="22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 t="n"/>
      <c r="K47" s="31" t="n"/>
      <c r="L47" s="31" t="n"/>
      <c r="M47" s="32" t="n"/>
      <c r="N47" s="32" t="n"/>
      <c r="O47" s="32" t="n"/>
      <c r="P47" s="32" t="n"/>
      <c r="Q47" s="32" t="n"/>
      <c r="R47" s="32" t="n"/>
      <c r="S47" s="30" t="n"/>
      <c r="T47" s="30" t="n"/>
      <c r="U47" s="30" t="n"/>
      <c r="V47" s="30" t="n"/>
      <c r="W47" s="33" t="n"/>
      <c r="X47" s="32" t="n"/>
      <c r="Y47" s="41">
        <f>IF(OR(W47="",X47="",X47&lt;=0),"",W47/X47)</f>
        <v/>
      </c>
      <c r="Z47" s="30" t="n"/>
      <c r="AA47" s="32" t="n"/>
      <c r="AB47" s="30" t="n"/>
      <c r="AC47" s="30" t="n"/>
      <c r="AD47" s="30" t="n"/>
      <c r="AE47" s="30" t="n"/>
      <c r="AF47" s="30" t="n"/>
      <c r="AG47" s="30" t="n"/>
      <c r="AH47" s="30" t="n"/>
      <c r="AI47" s="35">
        <f>IF(NOT(COUNTA(A47:AH47)&gt;0),"",IF(TEXTJOIN(", ",TRUE,IF(B47="","Название",""),IF(C47="","Тип недвижимости",""),IF(D47="","Страна",""),IF(E47="","Город",""),IF(F47="","Улица",""),IF(I47="","Валюта",""),IF(OR(AA47="",AA47&lt;1),"Хотя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земли",""),IF(OR(AF47="",AF47="Нет"),"Право собственности",""),IF(OR(AG47="",AG47="Нет"),"Справка об отсутствии обременений",""),IF(OR(W47="",W47&lt;=0),"Общая стоимость",""),IF(OR(X47="",X47&lt;=0),"Количество долей",""),IF(AND(X47&lt;&gt;"",X47&lt;&gt;INT(X47)),"Количество долей должно быть целым",""))="","",TEXTJOIN(", ",TRUE,IF(B47="","Название",""),IF(C47="","Тип недвижимости",""),IF(D47="","Страна",""),IF(E47="","Город",""),IF(F47="","Улица",""),IF(I47="","Валюта",""),IF(OR(AA47="",AA47&lt;1),"Хотя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земли",""),IF(OR(AF47="",AF47="Нет"),"Право собственности",""),IF(OR(AG47="",AG47="Нет"),"Справка об отсутствии обременений",""),IF(OR(W47="",W47&lt;=0),"Общая стоимость",""),IF(OR(X47="",X47&lt;=0),"Количество долей",""),IF(AND(X47&lt;&gt;"",X47&lt;&gt;INT(X47)),"Количество долей должно быть целым",""))))</f>
        <v/>
      </c>
      <c r="AJ47" s="35">
        <f>IF(NOT(COUNTA(A47:AH47)&gt;0),"",IF(TEXTJOIN(", ",TRUE,IF(AD47="","Описание",""),IF(AND(AA47&lt;&gt;"",AA47&gt;=1,AA47&lt;5),"Фото меньше 5",""),IF(AC47="","Видео",""),IF(H47="","Кадастровый номер",""),IF(AB47="","Ссылка на фото",""))="","",TEXTJOIN(", ",TRUE,IF(AD47="","Описание",""),IF(AND(AA47&lt;&gt;"",AA47&gt;=1,AA47&lt;5),"Фото меньше 5",""),IF(AC47="","Видео",""),IF(H47="","Кадастровый номер",""),IF(AB47="","Ссылка на фото",""))))</f>
        <v/>
      </c>
      <c r="AK47" s="35">
        <f>IF(NOT(COUNTA(A47:AH47)&gt;0),"",IF(AI47="","Можно публиковать","Не хватает"))</f>
        <v/>
      </c>
    </row>
    <row r="48" ht="22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7" t="n"/>
      <c r="K48" s="37" t="n"/>
      <c r="L48" s="37" t="n"/>
      <c r="M48" s="38" t="n"/>
      <c r="N48" s="38" t="n"/>
      <c r="O48" s="38" t="n"/>
      <c r="P48" s="38" t="n"/>
      <c r="Q48" s="38" t="n"/>
      <c r="R48" s="38" t="n"/>
      <c r="S48" s="36" t="n"/>
      <c r="T48" s="36" t="n"/>
      <c r="U48" s="36" t="n"/>
      <c r="V48" s="36" t="n"/>
      <c r="W48" s="39" t="n"/>
      <c r="X48" s="38" t="n"/>
      <c r="Y48" s="41">
        <f>IF(OR(W48="",X48="",X48&lt;=0),"",W48/X48)</f>
        <v/>
      </c>
      <c r="Z48" s="36" t="n"/>
      <c r="AA48" s="38" t="n"/>
      <c r="AB48" s="36" t="n"/>
      <c r="AC48" s="36" t="n"/>
      <c r="AD48" s="36" t="n"/>
      <c r="AE48" s="36" t="n"/>
      <c r="AF48" s="36" t="n"/>
      <c r="AG48" s="36" t="n"/>
      <c r="AH48" s="36" t="n"/>
      <c r="AI48" s="35">
        <f>IF(NOT(COUNTA(A48:AH48)&gt;0),"",IF(TEXTJOIN(", ",TRUE,IF(B48="","Название",""),IF(C48="","Тип недвижимости",""),IF(D48="","Страна",""),IF(E48="","Город",""),IF(F48="","Улица",""),IF(I48="","Валюта",""),IF(OR(AA48="",AA48&lt;1),"Хотя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земли",""),IF(OR(AF48="",AF48="Нет"),"Право собственности",""),IF(OR(AG48="",AG48="Нет"),"Справка об отсутствии обременений",""),IF(OR(W48="",W48&lt;=0),"Общая стоимость",""),IF(OR(X48="",X48&lt;=0),"Количество долей",""),IF(AND(X48&lt;&gt;"",X48&lt;&gt;INT(X48)),"Количество долей должно быть целым",""))="","",TEXTJOIN(", ",TRUE,IF(B48="","Название",""),IF(C48="","Тип недвижимости",""),IF(D48="","Страна",""),IF(E48="","Город",""),IF(F48="","Улица",""),IF(I48="","Валюта",""),IF(OR(AA48="",AA48&lt;1),"Хотя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земли",""),IF(OR(AF48="",AF48="Нет"),"Право собственности",""),IF(OR(AG48="",AG48="Нет"),"Справка об отсутствии обременений",""),IF(OR(W48="",W48&lt;=0),"Общая стоимость",""),IF(OR(X48="",X48&lt;=0),"Количество долей",""),IF(AND(X48&lt;&gt;"",X48&lt;&gt;INT(X48)),"Количество долей должно быть целым",""))))</f>
        <v/>
      </c>
      <c r="AJ48" s="35">
        <f>IF(NOT(COUNTA(A48:AH48)&gt;0),"",IF(TEXTJOIN(", ",TRUE,IF(AD48="","Описание",""),IF(AND(AA48&lt;&gt;"",AA48&gt;=1,AA48&lt;5),"Фото меньше 5",""),IF(AC48="","Видео",""),IF(H48="","Кадастровый номер",""),IF(AB48="","Ссылка на фото",""))="","",TEXTJOIN(", ",TRUE,IF(AD48="","Описание",""),IF(AND(AA48&lt;&gt;"",AA48&gt;=1,AA48&lt;5),"Фото меньше 5",""),IF(AC48="","Видео",""),IF(H48="","Кадастровый номер",""),IF(AB48="","Ссылка на фото",""))))</f>
        <v/>
      </c>
      <c r="AK48" s="35">
        <f>IF(NOT(COUNTA(A48:AH48)&gt;0),"",IF(AI48="","Можно публиковать","Не хватает"))</f>
        <v/>
      </c>
    </row>
    <row r="49" ht="22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  <c r="K49" s="31" t="n"/>
      <c r="L49" s="31" t="n"/>
      <c r="M49" s="32" t="n"/>
      <c r="N49" s="32" t="n"/>
      <c r="O49" s="32" t="n"/>
      <c r="P49" s="32" t="n"/>
      <c r="Q49" s="32" t="n"/>
      <c r="R49" s="32" t="n"/>
      <c r="S49" s="30" t="n"/>
      <c r="T49" s="30" t="n"/>
      <c r="U49" s="30" t="n"/>
      <c r="V49" s="30" t="n"/>
      <c r="W49" s="33" t="n"/>
      <c r="X49" s="32" t="n"/>
      <c r="Y49" s="41">
        <f>IF(OR(W49="",X49="",X49&lt;=0),"",W49/X49)</f>
        <v/>
      </c>
      <c r="Z49" s="30" t="n"/>
      <c r="AA49" s="32" t="n"/>
      <c r="AB49" s="30" t="n"/>
      <c r="AC49" s="30" t="n"/>
      <c r="AD49" s="30" t="n"/>
      <c r="AE49" s="30" t="n"/>
      <c r="AF49" s="30" t="n"/>
      <c r="AG49" s="30" t="n"/>
      <c r="AH49" s="30" t="n"/>
      <c r="AI49" s="35">
        <f>IF(NOT(COUNTA(A49:AH49)&gt;0),"",IF(TEXTJOIN(", ",TRUE,IF(B49="","Название",""),IF(C49="","Тип недвижимости",""),IF(D49="","Страна",""),IF(E49="","Город",""),IF(F49="","Улица",""),IF(I49="","Валюта",""),IF(OR(AA49="",AA49&lt;1),"Хотя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земли",""),IF(OR(AF49="",AF49="Нет"),"Право собственности",""),IF(OR(AG49="",AG49="Нет"),"Справка об отсутствии обременений",""),IF(OR(W49="",W49&lt;=0),"Общая стоимость",""),IF(OR(X49="",X49&lt;=0),"Количество долей",""),IF(AND(X49&lt;&gt;"",X49&lt;&gt;INT(X49)),"Количество долей должно быть целым",""))="","",TEXTJOIN(", ",TRUE,IF(B49="","Название",""),IF(C49="","Тип недвижимости",""),IF(D49="","Страна",""),IF(E49="","Город",""),IF(F49="","Улица",""),IF(I49="","Валюта",""),IF(OR(AA49="",AA49&lt;1),"Хотя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земли",""),IF(OR(AF49="",AF49="Нет"),"Право собственности",""),IF(OR(AG49="",AG49="Нет"),"Справка об отсутствии обременений",""),IF(OR(W49="",W49&lt;=0),"Общая стоимость",""),IF(OR(X49="",X49&lt;=0),"Количество долей",""),IF(AND(X49&lt;&gt;"",X49&lt;&gt;INT(X49)),"Количество долей должно быть целым",""))))</f>
        <v/>
      </c>
      <c r="AJ49" s="35">
        <f>IF(NOT(COUNTA(A49:AH49)&gt;0),"",IF(TEXTJOIN(", ",TRUE,IF(AD49="","Описание",""),IF(AND(AA49&lt;&gt;"",AA49&gt;=1,AA49&lt;5),"Фото меньше 5",""),IF(AC49="","Видео",""),IF(H49="","Кадастровый номер",""),IF(AB49="","Ссылка на фото",""))="","",TEXTJOIN(", ",TRUE,IF(AD49="","Описание",""),IF(AND(AA49&lt;&gt;"",AA49&gt;=1,AA49&lt;5),"Фото меньше 5",""),IF(AC49="","Видео",""),IF(H49="","Кадастровый номер",""),IF(AB49="","Ссылка на фото",""))))</f>
        <v/>
      </c>
      <c r="AK49" s="35">
        <f>IF(NOT(COUNTA(A49:AH49)&gt;0),"",IF(AI49="","Можно публиковать","Не хватает"))</f>
        <v/>
      </c>
    </row>
    <row r="50" ht="22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7" t="n"/>
      <c r="K50" s="37" t="n"/>
      <c r="L50" s="37" t="n"/>
      <c r="M50" s="38" t="n"/>
      <c r="N50" s="38" t="n"/>
      <c r="O50" s="38" t="n"/>
      <c r="P50" s="38" t="n"/>
      <c r="Q50" s="38" t="n"/>
      <c r="R50" s="38" t="n"/>
      <c r="S50" s="36" t="n"/>
      <c r="T50" s="36" t="n"/>
      <c r="U50" s="36" t="n"/>
      <c r="V50" s="36" t="n"/>
      <c r="W50" s="39" t="n"/>
      <c r="X50" s="38" t="n"/>
      <c r="Y50" s="41">
        <f>IF(OR(W50="",X50="",X50&lt;=0),"",W50/X50)</f>
        <v/>
      </c>
      <c r="Z50" s="36" t="n"/>
      <c r="AA50" s="38" t="n"/>
      <c r="AB50" s="36" t="n"/>
      <c r="AC50" s="36" t="n"/>
      <c r="AD50" s="36" t="n"/>
      <c r="AE50" s="36" t="n"/>
      <c r="AF50" s="36" t="n"/>
      <c r="AG50" s="36" t="n"/>
      <c r="AH50" s="36" t="n"/>
      <c r="AI50" s="35">
        <f>IF(NOT(COUNTA(A50:AH50)&gt;0),"",IF(TEXTJOIN(", ",TRUE,IF(B50="","Название",""),IF(C50="","Тип недвижимости",""),IF(D50="","Страна",""),IF(E50="","Город",""),IF(F50="","Улица",""),IF(I50="","Валюта",""),IF(OR(AA50="",AA50&lt;1),"Хотя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земли",""),IF(OR(AF50="",AF50="Нет"),"Право собственности",""),IF(OR(AG50="",AG50="Нет"),"Справка об отсутствии обременений",""),IF(OR(W50="",W50&lt;=0),"Общая стоимость",""),IF(OR(X50="",X50&lt;=0),"Количество долей",""),IF(AND(X50&lt;&gt;"",X50&lt;&gt;INT(X50)),"Количество долей должно быть целым",""))="","",TEXTJOIN(", ",TRUE,IF(B50="","Название",""),IF(C50="","Тип недвижимости",""),IF(D50="","Страна",""),IF(E50="","Город",""),IF(F50="","Улица",""),IF(I50="","Валюта",""),IF(OR(AA50="",AA50&lt;1),"Хотя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земли",""),IF(OR(AF50="",AF50="Нет"),"Право собственности",""),IF(OR(AG50="",AG50="Нет"),"Справка об отсутствии обременений",""),IF(OR(W50="",W50&lt;=0),"Общая стоимость",""),IF(OR(X50="",X50&lt;=0),"Количество долей",""),IF(AND(X50&lt;&gt;"",X50&lt;&gt;INT(X50)),"Количество долей должно быть целым",""))))</f>
        <v/>
      </c>
      <c r="AJ50" s="35">
        <f>IF(NOT(COUNTA(A50:AH50)&gt;0),"",IF(TEXTJOIN(", ",TRUE,IF(AD50="","Описание",""),IF(AND(AA50&lt;&gt;"",AA50&gt;=1,AA50&lt;5),"Фото меньше 5",""),IF(AC50="","Видео",""),IF(H50="","Кадастровый номер",""),IF(AB50="","Ссылка на фото",""))="","",TEXTJOIN(", ",TRUE,IF(AD50="","Описание",""),IF(AND(AA50&lt;&gt;"",AA50&gt;=1,AA50&lt;5),"Фото меньше 5",""),IF(AC50="","Видео",""),IF(H50="","Кадастровый номер",""),IF(AB50="","Ссылка на фото",""))))</f>
        <v/>
      </c>
      <c r="AK50" s="35">
        <f>IF(NOT(COUNTA(A50:AH50)&gt;0),"",IF(AI50="","Можно публиковать","Не хватает"))</f>
        <v/>
      </c>
    </row>
    <row r="51" ht="22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 t="n"/>
      <c r="K51" s="31" t="n"/>
      <c r="L51" s="31" t="n"/>
      <c r="M51" s="32" t="n"/>
      <c r="N51" s="32" t="n"/>
      <c r="O51" s="32" t="n"/>
      <c r="P51" s="32" t="n"/>
      <c r="Q51" s="32" t="n"/>
      <c r="R51" s="32" t="n"/>
      <c r="S51" s="30" t="n"/>
      <c r="T51" s="30" t="n"/>
      <c r="U51" s="30" t="n"/>
      <c r="V51" s="30" t="n"/>
      <c r="W51" s="33" t="n"/>
      <c r="X51" s="32" t="n"/>
      <c r="Y51" s="41">
        <f>IF(OR(W51="",X51="",X51&lt;=0),"",W51/X51)</f>
        <v/>
      </c>
      <c r="Z51" s="30" t="n"/>
      <c r="AA51" s="32" t="n"/>
      <c r="AB51" s="30" t="n"/>
      <c r="AC51" s="30" t="n"/>
      <c r="AD51" s="30" t="n"/>
      <c r="AE51" s="30" t="n"/>
      <c r="AF51" s="30" t="n"/>
      <c r="AG51" s="30" t="n"/>
      <c r="AH51" s="30" t="n"/>
      <c r="AI51" s="35">
        <f>IF(NOT(COUNTA(A51:AH51)&gt;0),"",IF(TEXTJOIN(", ",TRUE,IF(B51="","Название",""),IF(C51="","Тип недвижимости",""),IF(D51="","Страна",""),IF(E51="","Город",""),IF(F51="","Улица",""),IF(I51="","Валюта",""),IF(OR(AA51="",AA51&lt;1),"Хотя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земли",""),IF(OR(AF51="",AF51="Нет"),"Право собственности",""),IF(OR(AG51="",AG51="Нет"),"Справка об отсутствии обременений",""),IF(OR(W51="",W51&lt;=0),"Общая стоимость",""),IF(OR(X51="",X51&lt;=0),"Количество долей",""),IF(AND(X51&lt;&gt;"",X51&lt;&gt;INT(X51)),"Количество долей должно быть целым",""))="","",TEXTJOIN(", ",TRUE,IF(B51="","Название",""),IF(C51="","Тип недвижимости",""),IF(D51="","Страна",""),IF(E51="","Город",""),IF(F51="","Улица",""),IF(I51="","Валюта",""),IF(OR(AA51="",AA51&lt;1),"Хотя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земли",""),IF(OR(AF51="",AF51="Нет"),"Право собственности",""),IF(OR(AG51="",AG51="Нет"),"Справка об отсутствии обременений",""),IF(OR(W51="",W51&lt;=0),"Общая стоимость",""),IF(OR(X51="",X51&lt;=0),"Количество долей",""),IF(AND(X51&lt;&gt;"",X51&lt;&gt;INT(X51)),"Количество долей должно быть целым",""))))</f>
        <v/>
      </c>
      <c r="AJ51" s="35">
        <f>IF(NOT(COUNTA(A51:AH51)&gt;0),"",IF(TEXTJOIN(", ",TRUE,IF(AD51="","Описание",""),IF(AND(AA51&lt;&gt;"",AA51&gt;=1,AA51&lt;5),"Фото меньше 5",""),IF(AC51="","Видео",""),IF(H51="","Кадастровый номер",""),IF(AB51="","Ссылка на фото",""))="","",TEXTJOIN(", ",TRUE,IF(AD51="","Описание",""),IF(AND(AA51&lt;&gt;"",AA51&gt;=1,AA51&lt;5),"Фото меньше 5",""),IF(AC51="","Видео",""),IF(H51="","Кадастровый номер",""),IF(AB51="","Ссылка на фото",""))))</f>
        <v/>
      </c>
      <c r="AK51" s="35">
        <f>IF(NOT(COUNTA(A51:AH51)&gt;0),"",IF(AI51="","Можно публиковать","Не хватает"))</f>
        <v/>
      </c>
    </row>
    <row r="52" ht="22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7" t="n"/>
      <c r="K52" s="37" t="n"/>
      <c r="L52" s="37" t="n"/>
      <c r="M52" s="38" t="n"/>
      <c r="N52" s="38" t="n"/>
      <c r="O52" s="38" t="n"/>
      <c r="P52" s="38" t="n"/>
      <c r="Q52" s="38" t="n"/>
      <c r="R52" s="38" t="n"/>
      <c r="S52" s="36" t="n"/>
      <c r="T52" s="36" t="n"/>
      <c r="U52" s="36" t="n"/>
      <c r="V52" s="36" t="n"/>
      <c r="W52" s="39" t="n"/>
      <c r="X52" s="38" t="n"/>
      <c r="Y52" s="41">
        <f>IF(OR(W52="",X52="",X52&lt;=0),"",W52/X52)</f>
        <v/>
      </c>
      <c r="Z52" s="36" t="n"/>
      <c r="AA52" s="38" t="n"/>
      <c r="AB52" s="36" t="n"/>
      <c r="AC52" s="36" t="n"/>
      <c r="AD52" s="36" t="n"/>
      <c r="AE52" s="36" t="n"/>
      <c r="AF52" s="36" t="n"/>
      <c r="AG52" s="36" t="n"/>
      <c r="AH52" s="36" t="n"/>
      <c r="AI52" s="35">
        <f>IF(NOT(COUNTA(A52:AH52)&gt;0),"",IF(TEXTJOIN(", ",TRUE,IF(B52="","Название",""),IF(C52="","Тип недвижимости",""),IF(D52="","Страна",""),IF(E52="","Город",""),IF(F52="","Улица",""),IF(I52="","Валюта",""),IF(OR(AA52="",AA52&lt;1),"Хотя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земли",""),IF(OR(AF52="",AF52="Нет"),"Право собственности",""),IF(OR(AG52="",AG52="Нет"),"Справка об отсутствии обременений",""),IF(OR(W52="",W52&lt;=0),"Общая стоимость",""),IF(OR(X52="",X52&lt;=0),"Количество долей",""),IF(AND(X52&lt;&gt;"",X52&lt;&gt;INT(X52)),"Количество долей должно быть целым",""))="","",TEXTJOIN(", ",TRUE,IF(B52="","Название",""),IF(C52="","Тип недвижимости",""),IF(D52="","Страна",""),IF(E52="","Город",""),IF(F52="","Улица",""),IF(I52="","Валюта",""),IF(OR(AA52="",AA52&lt;1),"Хотя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земли",""),IF(OR(AF52="",AF52="Нет"),"Право собственности",""),IF(OR(AG52="",AG52="Нет"),"Справка об отсутствии обременений",""),IF(OR(W52="",W52&lt;=0),"Общая стоимость",""),IF(OR(X52="",X52&lt;=0),"Количество долей",""),IF(AND(X52&lt;&gt;"",X52&lt;&gt;INT(X52)),"Количество долей должно быть целым",""))))</f>
        <v/>
      </c>
      <c r="AJ52" s="35">
        <f>IF(NOT(COUNTA(A52:AH52)&gt;0),"",IF(TEXTJOIN(", ",TRUE,IF(AD52="","Описание",""),IF(AND(AA52&lt;&gt;"",AA52&gt;=1,AA52&lt;5),"Фото меньше 5",""),IF(AC52="","Видео",""),IF(H52="","Кадастровый номер",""),IF(AB52="","Ссылка на фото",""))="","",TEXTJOIN(", ",TRUE,IF(AD52="","Описание",""),IF(AND(AA52&lt;&gt;"",AA52&gt;=1,AA52&lt;5),"Фото меньше 5",""),IF(AC52="","Видео",""),IF(H52="","Кадастровый номер",""),IF(AB52="","Ссылка на фото",""))))</f>
        <v/>
      </c>
      <c r="AK52" s="35">
        <f>IF(NOT(COUNTA(A52:AH52)&gt;0),"",IF(AI52="","Можно публиковать","Не хватает"))</f>
        <v/>
      </c>
    </row>
    <row r="53" ht="22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  <c r="K53" s="31" t="n"/>
      <c r="L53" s="31" t="n"/>
      <c r="M53" s="32" t="n"/>
      <c r="N53" s="32" t="n"/>
      <c r="O53" s="32" t="n"/>
      <c r="P53" s="32" t="n"/>
      <c r="Q53" s="32" t="n"/>
      <c r="R53" s="32" t="n"/>
      <c r="S53" s="30" t="n"/>
      <c r="T53" s="30" t="n"/>
      <c r="U53" s="30" t="n"/>
      <c r="V53" s="30" t="n"/>
      <c r="W53" s="33" t="n"/>
      <c r="X53" s="32" t="n"/>
      <c r="Y53" s="41">
        <f>IF(OR(W53="",X53="",X53&lt;=0),"",W53/X53)</f>
        <v/>
      </c>
      <c r="Z53" s="30" t="n"/>
      <c r="AA53" s="32" t="n"/>
      <c r="AB53" s="30" t="n"/>
      <c r="AC53" s="30" t="n"/>
      <c r="AD53" s="30" t="n"/>
      <c r="AE53" s="30" t="n"/>
      <c r="AF53" s="30" t="n"/>
      <c r="AG53" s="30" t="n"/>
      <c r="AH53" s="30" t="n"/>
      <c r="AI53" s="35">
        <f>IF(NOT(COUNTA(A53:AH53)&gt;0),"",IF(TEXTJOIN(", ",TRUE,IF(B53="","Название",""),IF(C53="","Тип недвижимости",""),IF(D53="","Страна",""),IF(E53="","Город",""),IF(F53="","Улица",""),IF(I53="","Валюта",""),IF(OR(AA53="",AA53&lt;1),"Хотя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земли",""),IF(OR(AF53="",AF53="Нет"),"Право собственности",""),IF(OR(AG53="",AG53="Нет"),"Справка об отсутствии обременений",""),IF(OR(W53="",W53&lt;=0),"Общая стоимость",""),IF(OR(X53="",X53&lt;=0),"Количество долей",""),IF(AND(X53&lt;&gt;"",X53&lt;&gt;INT(X53)),"Количество долей должно быть целым",""))="","",TEXTJOIN(", ",TRUE,IF(B53="","Название",""),IF(C53="","Тип недвижимости",""),IF(D53="","Страна",""),IF(E53="","Город",""),IF(F53="","Улица",""),IF(I53="","Валюта",""),IF(OR(AA53="",AA53&lt;1),"Хотя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земли",""),IF(OR(AF53="",AF53="Нет"),"Право собственности",""),IF(OR(AG53="",AG53="Нет"),"Справка об отсутствии обременений",""),IF(OR(W53="",W53&lt;=0),"Общая стоимость",""),IF(OR(X53="",X53&lt;=0),"Количество долей",""),IF(AND(X53&lt;&gt;"",X53&lt;&gt;INT(X53)),"Количество долей должно быть целым",""))))</f>
        <v/>
      </c>
      <c r="AJ53" s="35">
        <f>IF(NOT(COUNTA(A53:AH53)&gt;0),"",IF(TEXTJOIN(", ",TRUE,IF(AD53="","Описание",""),IF(AND(AA53&lt;&gt;"",AA53&gt;=1,AA53&lt;5),"Фото меньше 5",""),IF(AC53="","Видео",""),IF(H53="","Кадастровый номер",""),IF(AB53="","Ссылка на фото",""))="","",TEXTJOIN(", ",TRUE,IF(AD53="","Описание",""),IF(AND(AA53&lt;&gt;"",AA53&gt;=1,AA53&lt;5),"Фото меньше 5",""),IF(AC53="","Видео",""),IF(H53="","Кадастровый номер",""),IF(AB53="","Ссылка на фото",""))))</f>
        <v/>
      </c>
      <c r="AK53" s="35">
        <f>IF(NOT(COUNTA(A53:AH53)&gt;0),"",IF(AI53="","Можно публиковать","Не хватает"))</f>
        <v/>
      </c>
    </row>
    <row r="54" ht="22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7" t="n"/>
      <c r="K54" s="37" t="n"/>
      <c r="L54" s="37" t="n"/>
      <c r="M54" s="38" t="n"/>
      <c r="N54" s="38" t="n"/>
      <c r="O54" s="38" t="n"/>
      <c r="P54" s="38" t="n"/>
      <c r="Q54" s="38" t="n"/>
      <c r="R54" s="38" t="n"/>
      <c r="S54" s="36" t="n"/>
      <c r="T54" s="36" t="n"/>
      <c r="U54" s="36" t="n"/>
      <c r="V54" s="36" t="n"/>
      <c r="W54" s="39" t="n"/>
      <c r="X54" s="38" t="n"/>
      <c r="Y54" s="41">
        <f>IF(OR(W54="",X54="",X54&lt;=0),"",W54/X54)</f>
        <v/>
      </c>
      <c r="Z54" s="36" t="n"/>
      <c r="AA54" s="38" t="n"/>
      <c r="AB54" s="36" t="n"/>
      <c r="AC54" s="36" t="n"/>
      <c r="AD54" s="36" t="n"/>
      <c r="AE54" s="36" t="n"/>
      <c r="AF54" s="36" t="n"/>
      <c r="AG54" s="36" t="n"/>
      <c r="AH54" s="36" t="n"/>
      <c r="AI54" s="35">
        <f>IF(NOT(COUNTA(A54:AH54)&gt;0),"",IF(TEXTJOIN(", ",TRUE,IF(B54="","Название",""),IF(C54="","Тип недвижимости",""),IF(D54="","Страна",""),IF(E54="","Город",""),IF(F54="","Улица",""),IF(I54="","Валюта",""),IF(OR(AA54="",AA54&lt;1),"Хотя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земли",""),IF(OR(AF54="",AF54="Нет"),"Право собственности",""),IF(OR(AG54="",AG54="Нет"),"Справка об отсутствии обременений",""),IF(OR(W54="",W54&lt;=0),"Общая стоимость",""),IF(OR(X54="",X54&lt;=0),"Количество долей",""),IF(AND(X54&lt;&gt;"",X54&lt;&gt;INT(X54)),"Количество долей должно быть целым",""))="","",TEXTJOIN(", ",TRUE,IF(B54="","Название",""),IF(C54="","Тип недвижимости",""),IF(D54="","Страна",""),IF(E54="","Город",""),IF(F54="","Улица",""),IF(I54="","Валюта",""),IF(OR(AA54="",AA54&lt;1),"Хотя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земли",""),IF(OR(AF54="",AF54="Нет"),"Право собственности",""),IF(OR(AG54="",AG54="Нет"),"Справка об отсутствии обременений",""),IF(OR(W54="",W54&lt;=0),"Общая стоимость",""),IF(OR(X54="",X54&lt;=0),"Количество долей",""),IF(AND(X54&lt;&gt;"",X54&lt;&gt;INT(X54)),"Количество долей должно быть целым",""))))</f>
        <v/>
      </c>
      <c r="AJ54" s="35">
        <f>IF(NOT(COUNTA(A54:AH54)&gt;0),"",IF(TEXTJOIN(", ",TRUE,IF(AD54="","Описание",""),IF(AND(AA54&lt;&gt;"",AA54&gt;=1,AA54&lt;5),"Фото меньше 5",""),IF(AC54="","Видео",""),IF(H54="","Кадастровый номер",""),IF(AB54="","Ссылка на фото",""))="","",TEXTJOIN(", ",TRUE,IF(AD54="","Описание",""),IF(AND(AA54&lt;&gt;"",AA54&gt;=1,AA54&lt;5),"Фото меньше 5",""),IF(AC54="","Видео",""),IF(H54="","Кадастровый номер",""),IF(AB54="","Ссылка на фото",""))))</f>
        <v/>
      </c>
      <c r="AK54" s="35">
        <f>IF(NOT(COUNTA(A54:AH54)&gt;0),"",IF(AI54="","Можно публиковать","Не хватает"))</f>
        <v/>
      </c>
    </row>
    <row r="55" ht="22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 t="n"/>
      <c r="K55" s="31" t="n"/>
      <c r="L55" s="31" t="n"/>
      <c r="M55" s="32" t="n"/>
      <c r="N55" s="32" t="n"/>
      <c r="O55" s="32" t="n"/>
      <c r="P55" s="32" t="n"/>
      <c r="Q55" s="32" t="n"/>
      <c r="R55" s="32" t="n"/>
      <c r="S55" s="30" t="n"/>
      <c r="T55" s="30" t="n"/>
      <c r="U55" s="30" t="n"/>
      <c r="V55" s="30" t="n"/>
      <c r="W55" s="33" t="n"/>
      <c r="X55" s="32" t="n"/>
      <c r="Y55" s="41">
        <f>IF(OR(W55="",X55="",X55&lt;=0),"",W55/X55)</f>
        <v/>
      </c>
      <c r="Z55" s="30" t="n"/>
      <c r="AA55" s="32" t="n"/>
      <c r="AB55" s="30" t="n"/>
      <c r="AC55" s="30" t="n"/>
      <c r="AD55" s="30" t="n"/>
      <c r="AE55" s="30" t="n"/>
      <c r="AF55" s="30" t="n"/>
      <c r="AG55" s="30" t="n"/>
      <c r="AH55" s="30" t="n"/>
      <c r="AI55" s="35">
        <f>IF(NOT(COUNTA(A55:AH55)&gt;0),"",IF(TEXTJOIN(", ",TRUE,IF(B55="","Название",""),IF(C55="","Тип недвижимости",""),IF(D55="","Страна",""),IF(E55="","Город",""),IF(F55="","Улица",""),IF(I55="","Валюта",""),IF(OR(AA55="",AA55&lt;1),"Хотя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земли",""),IF(OR(AF55="",AF55="Нет"),"Право собственности",""),IF(OR(AG55="",AG55="Нет"),"Справка об отсутствии обременений",""),IF(OR(W55="",W55&lt;=0),"Общая стоимость",""),IF(OR(X55="",X55&lt;=0),"Количество долей",""),IF(AND(X55&lt;&gt;"",X55&lt;&gt;INT(X55)),"Количество долей должно быть целым",""))="","",TEXTJOIN(", ",TRUE,IF(B55="","Название",""),IF(C55="","Тип недвижимости",""),IF(D55="","Страна",""),IF(E55="","Город",""),IF(F55="","Улица",""),IF(I55="","Валюта",""),IF(OR(AA55="",AA55&lt;1),"Хотя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земли",""),IF(OR(AF55="",AF55="Нет"),"Право собственности",""),IF(OR(AG55="",AG55="Нет"),"Справка об отсутствии обременений",""),IF(OR(W55="",W55&lt;=0),"Общая стоимость",""),IF(OR(X55="",X55&lt;=0),"Количество долей",""),IF(AND(X55&lt;&gt;"",X55&lt;&gt;INT(X55)),"Количество долей должно быть целым",""))))</f>
        <v/>
      </c>
      <c r="AJ55" s="35">
        <f>IF(NOT(COUNTA(A55:AH55)&gt;0),"",IF(TEXTJOIN(", ",TRUE,IF(AD55="","Описание",""),IF(AND(AA55&lt;&gt;"",AA55&gt;=1,AA55&lt;5),"Фото меньше 5",""),IF(AC55="","Видео",""),IF(H55="","Кадастровый номер",""),IF(AB55="","Ссылка на фото",""))="","",TEXTJOIN(", ",TRUE,IF(AD55="","Описание",""),IF(AND(AA55&lt;&gt;"",AA55&gt;=1,AA55&lt;5),"Фото меньше 5",""),IF(AC55="","Видео",""),IF(H55="","Кадастровый номер",""),IF(AB55="","Ссылка на фото",""))))</f>
        <v/>
      </c>
      <c r="AK55" s="35">
        <f>IF(NOT(COUNTA(A55:AH55)&gt;0),"",IF(AI55="","Можно публиковать","Не хватает"))</f>
        <v/>
      </c>
    </row>
    <row r="56" ht="22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7" t="n"/>
      <c r="K56" s="37" t="n"/>
      <c r="L56" s="37" t="n"/>
      <c r="M56" s="38" t="n"/>
      <c r="N56" s="38" t="n"/>
      <c r="O56" s="38" t="n"/>
      <c r="P56" s="38" t="n"/>
      <c r="Q56" s="38" t="n"/>
      <c r="R56" s="38" t="n"/>
      <c r="S56" s="36" t="n"/>
      <c r="T56" s="36" t="n"/>
      <c r="U56" s="36" t="n"/>
      <c r="V56" s="36" t="n"/>
      <c r="W56" s="39" t="n"/>
      <c r="X56" s="38" t="n"/>
      <c r="Y56" s="41">
        <f>IF(OR(W56="",X56="",X56&lt;=0),"",W56/X56)</f>
        <v/>
      </c>
      <c r="Z56" s="36" t="n"/>
      <c r="AA56" s="38" t="n"/>
      <c r="AB56" s="36" t="n"/>
      <c r="AC56" s="36" t="n"/>
      <c r="AD56" s="36" t="n"/>
      <c r="AE56" s="36" t="n"/>
      <c r="AF56" s="36" t="n"/>
      <c r="AG56" s="36" t="n"/>
      <c r="AH56" s="36" t="n"/>
      <c r="AI56" s="35">
        <f>IF(NOT(COUNTA(A56:AH56)&gt;0),"",IF(TEXTJOIN(", ",TRUE,IF(B56="","Название",""),IF(C56="","Тип недвижимости",""),IF(D56="","Страна",""),IF(E56="","Город",""),IF(F56="","Улица",""),IF(I56="","Валюта",""),IF(OR(AA56="",AA56&lt;1),"Хотя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земли",""),IF(OR(AF56="",AF56="Нет"),"Право собственности",""),IF(OR(AG56="",AG56="Нет"),"Справка об отсутствии обременений",""),IF(OR(W56="",W56&lt;=0),"Общая стоимость",""),IF(OR(X56="",X56&lt;=0),"Количество долей",""),IF(AND(X56&lt;&gt;"",X56&lt;&gt;INT(X56)),"Количество долей должно быть целым",""))="","",TEXTJOIN(", ",TRUE,IF(B56="","Название",""),IF(C56="","Тип недвижимости",""),IF(D56="","Страна",""),IF(E56="","Город",""),IF(F56="","Улица",""),IF(I56="","Валюта",""),IF(OR(AA56="",AA56&lt;1),"Хотя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земли",""),IF(OR(AF56="",AF56="Нет"),"Право собственности",""),IF(OR(AG56="",AG56="Нет"),"Справка об отсутствии обременений",""),IF(OR(W56="",W56&lt;=0),"Общая стоимость",""),IF(OR(X56="",X56&lt;=0),"Количество долей",""),IF(AND(X56&lt;&gt;"",X56&lt;&gt;INT(X56)),"Количество долей должно быть целым",""))))</f>
        <v/>
      </c>
      <c r="AJ56" s="35">
        <f>IF(NOT(COUNTA(A56:AH56)&gt;0),"",IF(TEXTJOIN(", ",TRUE,IF(AD56="","Описание",""),IF(AND(AA56&lt;&gt;"",AA56&gt;=1,AA56&lt;5),"Фото меньше 5",""),IF(AC56="","Видео",""),IF(H56="","Кадастровый номер",""),IF(AB56="","Ссылка на фото",""))="","",TEXTJOIN(", ",TRUE,IF(AD56="","Описание",""),IF(AND(AA56&lt;&gt;"",AA56&gt;=1,AA56&lt;5),"Фото меньше 5",""),IF(AC56="","Видео",""),IF(H56="","Кадастровый номер",""),IF(AB56="","Ссылка на фото",""))))</f>
        <v/>
      </c>
      <c r="AK56" s="35">
        <f>IF(NOT(COUNTA(A56:AH56)&gt;0),"",IF(AI56="","Можно публиковать","Не хватает"))</f>
        <v/>
      </c>
    </row>
    <row r="57" ht="22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  <c r="K57" s="31" t="n"/>
      <c r="L57" s="31" t="n"/>
      <c r="M57" s="32" t="n"/>
      <c r="N57" s="32" t="n"/>
      <c r="O57" s="32" t="n"/>
      <c r="P57" s="32" t="n"/>
      <c r="Q57" s="32" t="n"/>
      <c r="R57" s="32" t="n"/>
      <c r="S57" s="30" t="n"/>
      <c r="T57" s="30" t="n"/>
      <c r="U57" s="30" t="n"/>
      <c r="V57" s="30" t="n"/>
      <c r="W57" s="33" t="n"/>
      <c r="X57" s="32" t="n"/>
      <c r="Y57" s="41">
        <f>IF(OR(W57="",X57="",X57&lt;=0),"",W57/X57)</f>
        <v/>
      </c>
      <c r="Z57" s="30" t="n"/>
      <c r="AA57" s="32" t="n"/>
      <c r="AB57" s="30" t="n"/>
      <c r="AC57" s="30" t="n"/>
      <c r="AD57" s="30" t="n"/>
      <c r="AE57" s="30" t="n"/>
      <c r="AF57" s="30" t="n"/>
      <c r="AG57" s="30" t="n"/>
      <c r="AH57" s="30" t="n"/>
      <c r="AI57" s="35">
        <f>IF(NOT(COUNTA(A57:AH57)&gt;0),"",IF(TEXTJOIN(", ",TRUE,IF(B57="","Название",""),IF(C57="","Тип недвижимости",""),IF(D57="","Страна",""),IF(E57="","Город",""),IF(F57="","Улица",""),IF(I57="","Валюта",""),IF(OR(AA57="",AA57&lt;1),"Хотя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земли",""),IF(OR(AF57="",AF57="Нет"),"Право собственности",""),IF(OR(AG57="",AG57="Нет"),"Справка об отсутствии обременений",""),IF(OR(W57="",W57&lt;=0),"Общая стоимость",""),IF(OR(X57="",X57&lt;=0),"Количество долей",""),IF(AND(X57&lt;&gt;"",X57&lt;&gt;INT(X57)),"Количество долей должно быть целым",""))="","",TEXTJOIN(", ",TRUE,IF(B57="","Название",""),IF(C57="","Тип недвижимости",""),IF(D57="","Страна",""),IF(E57="","Город",""),IF(F57="","Улица",""),IF(I57="","Валюта",""),IF(OR(AA57="",AA57&lt;1),"Хотя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земли",""),IF(OR(AF57="",AF57="Нет"),"Право собственности",""),IF(OR(AG57="",AG57="Нет"),"Справка об отсутствии обременений",""),IF(OR(W57="",W57&lt;=0),"Общая стоимость",""),IF(OR(X57="",X57&lt;=0),"Количество долей",""),IF(AND(X57&lt;&gt;"",X57&lt;&gt;INT(X57)),"Количество долей должно быть целым",""))))</f>
        <v/>
      </c>
      <c r="AJ57" s="35">
        <f>IF(NOT(COUNTA(A57:AH57)&gt;0),"",IF(TEXTJOIN(", ",TRUE,IF(AD57="","Описание",""),IF(AND(AA57&lt;&gt;"",AA57&gt;=1,AA57&lt;5),"Фото меньше 5",""),IF(AC57="","Видео",""),IF(H57="","Кадастровый номер",""),IF(AB57="","Ссылка на фото",""))="","",TEXTJOIN(", ",TRUE,IF(AD57="","Описание",""),IF(AND(AA57&lt;&gt;"",AA57&gt;=1,AA57&lt;5),"Фото меньше 5",""),IF(AC57="","Видео",""),IF(H57="","Кадастровый номер",""),IF(AB57="","Ссылка на фото",""))))</f>
        <v/>
      </c>
      <c r="AK57" s="35">
        <f>IF(NOT(COUNTA(A57:AH57)&gt;0),"",IF(AI57="","Можно публиковать","Не хватает"))</f>
        <v/>
      </c>
    </row>
    <row r="58" ht="22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7" t="n"/>
      <c r="K58" s="37" t="n"/>
      <c r="L58" s="37" t="n"/>
      <c r="M58" s="38" t="n"/>
      <c r="N58" s="38" t="n"/>
      <c r="O58" s="38" t="n"/>
      <c r="P58" s="38" t="n"/>
      <c r="Q58" s="38" t="n"/>
      <c r="R58" s="38" t="n"/>
      <c r="S58" s="36" t="n"/>
      <c r="T58" s="36" t="n"/>
      <c r="U58" s="36" t="n"/>
      <c r="V58" s="36" t="n"/>
      <c r="W58" s="39" t="n"/>
      <c r="X58" s="38" t="n"/>
      <c r="Y58" s="41">
        <f>IF(OR(W58="",X58="",X58&lt;=0),"",W58/X58)</f>
        <v/>
      </c>
      <c r="Z58" s="36" t="n"/>
      <c r="AA58" s="38" t="n"/>
      <c r="AB58" s="36" t="n"/>
      <c r="AC58" s="36" t="n"/>
      <c r="AD58" s="36" t="n"/>
      <c r="AE58" s="36" t="n"/>
      <c r="AF58" s="36" t="n"/>
      <c r="AG58" s="36" t="n"/>
      <c r="AH58" s="36" t="n"/>
      <c r="AI58" s="35">
        <f>IF(NOT(COUNTA(A58:AH58)&gt;0),"",IF(TEXTJOIN(", ",TRUE,IF(B58="","Название",""),IF(C58="","Тип недвижимости",""),IF(D58="","Страна",""),IF(E58="","Город",""),IF(F58="","Улица",""),IF(I58="","Валюта",""),IF(OR(AA58="",AA58&lt;1),"Хотя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земли",""),IF(OR(AF58="",AF58="Нет"),"Право собственности",""),IF(OR(AG58="",AG58="Нет"),"Справка об отсутствии обременений",""),IF(OR(W58="",W58&lt;=0),"Общая стоимость",""),IF(OR(X58="",X58&lt;=0),"Количество долей",""),IF(AND(X58&lt;&gt;"",X58&lt;&gt;INT(X58)),"Количество долей должно быть целым",""))="","",TEXTJOIN(", ",TRUE,IF(B58="","Название",""),IF(C58="","Тип недвижимости",""),IF(D58="","Страна",""),IF(E58="","Город",""),IF(F58="","Улица",""),IF(I58="","Валюта",""),IF(OR(AA58="",AA58&lt;1),"Хотя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земли",""),IF(OR(AF58="",AF58="Нет"),"Право собственности",""),IF(OR(AG58="",AG58="Нет"),"Справка об отсутствии обременений",""),IF(OR(W58="",W58&lt;=0),"Общая стоимость",""),IF(OR(X58="",X58&lt;=0),"Количество долей",""),IF(AND(X58&lt;&gt;"",X58&lt;&gt;INT(X58)),"Количество долей должно быть целым",""))))</f>
        <v/>
      </c>
      <c r="AJ58" s="35">
        <f>IF(NOT(COUNTA(A58:AH58)&gt;0),"",IF(TEXTJOIN(", ",TRUE,IF(AD58="","Описание",""),IF(AND(AA58&lt;&gt;"",AA58&gt;=1,AA58&lt;5),"Фото меньше 5",""),IF(AC58="","Видео",""),IF(H58="","Кадастровый номер",""),IF(AB58="","Ссылка на фото",""))="","",TEXTJOIN(", ",TRUE,IF(AD58="","Описание",""),IF(AND(AA58&lt;&gt;"",AA58&gt;=1,AA58&lt;5),"Фото меньше 5",""),IF(AC58="","Видео",""),IF(H58="","Кадастровый номер",""),IF(AB58="","Ссылка на фото",""))))</f>
        <v/>
      </c>
      <c r="AK58" s="35">
        <f>IF(NOT(COUNTA(A58:AH58)&gt;0),"",IF(AI58="","Можно публиковать","Не хватает"))</f>
        <v/>
      </c>
    </row>
    <row r="59" ht="22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  <c r="K59" s="31" t="n"/>
      <c r="L59" s="31" t="n"/>
      <c r="M59" s="32" t="n"/>
      <c r="N59" s="32" t="n"/>
      <c r="O59" s="32" t="n"/>
      <c r="P59" s="32" t="n"/>
      <c r="Q59" s="32" t="n"/>
      <c r="R59" s="32" t="n"/>
      <c r="S59" s="30" t="n"/>
      <c r="T59" s="30" t="n"/>
      <c r="U59" s="30" t="n"/>
      <c r="V59" s="30" t="n"/>
      <c r="W59" s="33" t="n"/>
      <c r="X59" s="32" t="n"/>
      <c r="Y59" s="41">
        <f>IF(OR(W59="",X59="",X59&lt;=0),"",W59/X59)</f>
        <v/>
      </c>
      <c r="Z59" s="30" t="n"/>
      <c r="AA59" s="32" t="n"/>
      <c r="AB59" s="30" t="n"/>
      <c r="AC59" s="30" t="n"/>
      <c r="AD59" s="30" t="n"/>
      <c r="AE59" s="30" t="n"/>
      <c r="AF59" s="30" t="n"/>
      <c r="AG59" s="30" t="n"/>
      <c r="AH59" s="30" t="n"/>
      <c r="AI59" s="35">
        <f>IF(NOT(COUNTA(A59:AH59)&gt;0),"",IF(TEXTJOIN(", ",TRUE,IF(B59="","Название",""),IF(C59="","Тип недвижимости",""),IF(D59="","Страна",""),IF(E59="","Город",""),IF(F59="","Улица",""),IF(I59="","Валюта",""),IF(OR(AA59="",AA59&lt;1),"Хотя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земли",""),IF(OR(AF59="",AF59="Нет"),"Право собственности",""),IF(OR(AG59="",AG59="Нет"),"Справка об отсутствии обременений",""),IF(OR(W59="",W59&lt;=0),"Общая стоимость",""),IF(OR(X59="",X59&lt;=0),"Количество долей",""),IF(AND(X59&lt;&gt;"",X59&lt;&gt;INT(X59)),"Количество долей должно быть целым",""))="","",TEXTJOIN(", ",TRUE,IF(B59="","Название",""),IF(C59="","Тип недвижимости",""),IF(D59="","Страна",""),IF(E59="","Город",""),IF(F59="","Улица",""),IF(I59="","Валюта",""),IF(OR(AA59="",AA59&lt;1),"Хотя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земли",""),IF(OR(AF59="",AF59="Нет"),"Право собственности",""),IF(OR(AG59="",AG59="Нет"),"Справка об отсутствии обременений",""),IF(OR(W59="",W59&lt;=0),"Общая стоимость",""),IF(OR(X59="",X59&lt;=0),"Количество долей",""),IF(AND(X59&lt;&gt;"",X59&lt;&gt;INT(X59)),"Количество долей должно быть целым",""))))</f>
        <v/>
      </c>
      <c r="AJ59" s="35">
        <f>IF(NOT(COUNTA(A59:AH59)&gt;0),"",IF(TEXTJOIN(", ",TRUE,IF(AD59="","Описание",""),IF(AND(AA59&lt;&gt;"",AA59&gt;=1,AA59&lt;5),"Фото меньше 5",""),IF(AC59="","Видео",""),IF(H59="","Кадастровый номер",""),IF(AB59="","Ссылка на фото",""))="","",TEXTJOIN(", ",TRUE,IF(AD59="","Описание",""),IF(AND(AA59&lt;&gt;"",AA59&gt;=1,AA59&lt;5),"Фото меньше 5",""),IF(AC59="","Видео",""),IF(H59="","Кадастровый номер",""),IF(AB59="","Ссылка на фото",""))))</f>
        <v/>
      </c>
      <c r="AK59" s="35">
        <f>IF(NOT(COUNTA(A59:AH59)&gt;0),"",IF(AI59="","Можно публиковать","Не хватает"))</f>
        <v/>
      </c>
    </row>
    <row r="60" ht="22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7" t="n"/>
      <c r="K60" s="37" t="n"/>
      <c r="L60" s="37" t="n"/>
      <c r="M60" s="38" t="n"/>
      <c r="N60" s="38" t="n"/>
      <c r="O60" s="38" t="n"/>
      <c r="P60" s="38" t="n"/>
      <c r="Q60" s="38" t="n"/>
      <c r="R60" s="38" t="n"/>
      <c r="S60" s="36" t="n"/>
      <c r="T60" s="36" t="n"/>
      <c r="U60" s="36" t="n"/>
      <c r="V60" s="36" t="n"/>
      <c r="W60" s="39" t="n"/>
      <c r="X60" s="38" t="n"/>
      <c r="Y60" s="41">
        <f>IF(OR(W60="",X60="",X60&lt;=0),"",W60/X60)</f>
        <v/>
      </c>
      <c r="Z60" s="36" t="n"/>
      <c r="AA60" s="38" t="n"/>
      <c r="AB60" s="36" t="n"/>
      <c r="AC60" s="36" t="n"/>
      <c r="AD60" s="36" t="n"/>
      <c r="AE60" s="36" t="n"/>
      <c r="AF60" s="36" t="n"/>
      <c r="AG60" s="36" t="n"/>
      <c r="AH60" s="36" t="n"/>
      <c r="AI60" s="35">
        <f>IF(NOT(COUNTA(A60:AH60)&gt;0),"",IF(TEXTJOIN(", ",TRUE,IF(B60="","Название",""),IF(C60="","Тип недвижимости",""),IF(D60="","Страна",""),IF(E60="","Город",""),IF(F60="","Улица",""),IF(I60="","Валюта",""),IF(OR(AA60="",AA60&lt;1),"Хотя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земли",""),IF(OR(AF60="",AF60="Нет"),"Право собственности",""),IF(OR(AG60="",AG60="Нет"),"Справка об отсутствии обременений",""),IF(OR(W60="",W60&lt;=0),"Общая стоимость",""),IF(OR(X60="",X60&lt;=0),"Количество долей",""),IF(AND(X60&lt;&gt;"",X60&lt;&gt;INT(X60)),"Количество долей должно быть целым",""))="","",TEXTJOIN(", ",TRUE,IF(B60="","Название",""),IF(C60="","Тип недвижимости",""),IF(D60="","Страна",""),IF(E60="","Город",""),IF(F60="","Улица",""),IF(I60="","Валюта",""),IF(OR(AA60="",AA60&lt;1),"Хотя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земли",""),IF(OR(AF60="",AF60="Нет"),"Право собственности",""),IF(OR(AG60="",AG60="Нет"),"Справка об отсутствии обременений",""),IF(OR(W60="",W60&lt;=0),"Общая стоимость",""),IF(OR(X60="",X60&lt;=0),"Количество долей",""),IF(AND(X60&lt;&gt;"",X60&lt;&gt;INT(X60)),"Количество долей должно быть целым",""))))</f>
        <v/>
      </c>
      <c r="AJ60" s="35">
        <f>IF(NOT(COUNTA(A60:AH60)&gt;0),"",IF(TEXTJOIN(", ",TRUE,IF(AD60="","Описание",""),IF(AND(AA60&lt;&gt;"",AA60&gt;=1,AA60&lt;5),"Фото меньше 5",""),IF(AC60="","Видео",""),IF(H60="","Кадастровый номер",""),IF(AB60="","Ссылка на фото",""))="","",TEXTJOIN(", ",TRUE,IF(AD60="","Описание",""),IF(AND(AA60&lt;&gt;"",AA60&gt;=1,AA60&lt;5),"Фото меньше 5",""),IF(AC60="","Видео",""),IF(H60="","Кадастровый номер",""),IF(AB60="","Ссылка на фото",""))))</f>
        <v/>
      </c>
      <c r="AK60" s="35">
        <f>IF(NOT(COUNTA(A60:AH60)&gt;0),"",IF(AI60="","Можно публиковать","Не хватает"))</f>
        <v/>
      </c>
    </row>
    <row r="61" ht="22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 t="n"/>
      <c r="K61" s="31" t="n"/>
      <c r="L61" s="31" t="n"/>
      <c r="M61" s="32" t="n"/>
      <c r="N61" s="32" t="n"/>
      <c r="O61" s="32" t="n"/>
      <c r="P61" s="32" t="n"/>
      <c r="Q61" s="32" t="n"/>
      <c r="R61" s="32" t="n"/>
      <c r="S61" s="30" t="n"/>
      <c r="T61" s="30" t="n"/>
      <c r="U61" s="30" t="n"/>
      <c r="V61" s="30" t="n"/>
      <c r="W61" s="33" t="n"/>
      <c r="X61" s="32" t="n"/>
      <c r="Y61" s="41">
        <f>IF(OR(W61="",X61="",X61&lt;=0),"",W61/X61)</f>
        <v/>
      </c>
      <c r="Z61" s="30" t="n"/>
      <c r="AA61" s="32" t="n"/>
      <c r="AB61" s="30" t="n"/>
      <c r="AC61" s="30" t="n"/>
      <c r="AD61" s="30" t="n"/>
      <c r="AE61" s="30" t="n"/>
      <c r="AF61" s="30" t="n"/>
      <c r="AG61" s="30" t="n"/>
      <c r="AH61" s="30" t="n"/>
      <c r="AI61" s="35">
        <f>IF(NOT(COUNTA(A61:AH61)&gt;0),"",IF(TEXTJOIN(", ",TRUE,IF(B61="","Название",""),IF(C61="","Тип недвижимости",""),IF(D61="","Страна",""),IF(E61="","Город",""),IF(F61="","Улица",""),IF(I61="","Валюта",""),IF(OR(AA61="",AA61&lt;1),"Хотя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земли",""),IF(OR(AF61="",AF61="Нет"),"Право собственности",""),IF(OR(AG61="",AG61="Нет"),"Справка об отсутствии обременений",""),IF(OR(W61="",W61&lt;=0),"Общая стоимость",""),IF(OR(X61="",X61&lt;=0),"Количество долей",""),IF(AND(X61&lt;&gt;"",X61&lt;&gt;INT(X61)),"Количество долей должно быть целым",""))="","",TEXTJOIN(", ",TRUE,IF(B61="","Название",""),IF(C61="","Тип недвижимости",""),IF(D61="","Страна",""),IF(E61="","Город",""),IF(F61="","Улица",""),IF(I61="","Валюта",""),IF(OR(AA61="",AA61&lt;1),"Хотя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земли",""),IF(OR(AF61="",AF61="Нет"),"Право собственности",""),IF(OR(AG61="",AG61="Нет"),"Справка об отсутствии обременений",""),IF(OR(W61="",W61&lt;=0),"Общая стоимость",""),IF(OR(X61="",X61&lt;=0),"Количество долей",""),IF(AND(X61&lt;&gt;"",X61&lt;&gt;INT(X61)),"Количество долей должно быть целым",""))))</f>
        <v/>
      </c>
      <c r="AJ61" s="35">
        <f>IF(NOT(COUNTA(A61:AH61)&gt;0),"",IF(TEXTJOIN(", ",TRUE,IF(AD61="","Описание",""),IF(AND(AA61&lt;&gt;"",AA61&gt;=1,AA61&lt;5),"Фото меньше 5",""),IF(AC61="","Видео",""),IF(H61="","Кадастровый номер",""),IF(AB61="","Ссылка на фото",""))="","",TEXTJOIN(", ",TRUE,IF(AD61="","Описание",""),IF(AND(AA61&lt;&gt;"",AA61&gt;=1,AA61&lt;5),"Фото меньше 5",""),IF(AC61="","Видео",""),IF(H61="","Кадастровый номер",""),IF(AB61="","Ссылка на фото",""))))</f>
        <v/>
      </c>
      <c r="AK61" s="35">
        <f>IF(NOT(COUNTA(A61:AH61)&gt;0),"",IF(AI61="","Можно публиковать","Не хватает"))</f>
        <v/>
      </c>
    </row>
    <row r="62" ht="22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7" t="n"/>
      <c r="K62" s="37" t="n"/>
      <c r="L62" s="37" t="n"/>
      <c r="M62" s="38" t="n"/>
      <c r="N62" s="38" t="n"/>
      <c r="O62" s="38" t="n"/>
      <c r="P62" s="38" t="n"/>
      <c r="Q62" s="38" t="n"/>
      <c r="R62" s="38" t="n"/>
      <c r="S62" s="36" t="n"/>
      <c r="T62" s="36" t="n"/>
      <c r="U62" s="36" t="n"/>
      <c r="V62" s="36" t="n"/>
      <c r="W62" s="39" t="n"/>
      <c r="X62" s="38" t="n"/>
      <c r="Y62" s="41">
        <f>IF(OR(W62="",X62="",X62&lt;=0),"",W62/X62)</f>
        <v/>
      </c>
      <c r="Z62" s="36" t="n"/>
      <c r="AA62" s="38" t="n"/>
      <c r="AB62" s="36" t="n"/>
      <c r="AC62" s="36" t="n"/>
      <c r="AD62" s="36" t="n"/>
      <c r="AE62" s="36" t="n"/>
      <c r="AF62" s="36" t="n"/>
      <c r="AG62" s="36" t="n"/>
      <c r="AH62" s="36" t="n"/>
      <c r="AI62" s="35">
        <f>IF(NOT(COUNTA(A62:AH62)&gt;0),"",IF(TEXTJOIN(", ",TRUE,IF(B62="","Название",""),IF(C62="","Тип недвижимости",""),IF(D62="","Страна",""),IF(E62="","Город",""),IF(F62="","Улица",""),IF(I62="","Валюта",""),IF(OR(AA62="",AA62&lt;1),"Хотя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земли",""),IF(OR(AF62="",AF62="Нет"),"Право собственности",""),IF(OR(AG62="",AG62="Нет"),"Справка об отсутствии обременений",""),IF(OR(W62="",W62&lt;=0),"Общая стоимость",""),IF(OR(X62="",X62&lt;=0),"Количество долей",""),IF(AND(X62&lt;&gt;"",X62&lt;&gt;INT(X62)),"Количество долей должно быть целым",""))="","",TEXTJOIN(", ",TRUE,IF(B62="","Название",""),IF(C62="","Тип недвижимости",""),IF(D62="","Страна",""),IF(E62="","Город",""),IF(F62="","Улица",""),IF(I62="","Валюта",""),IF(OR(AA62="",AA62&lt;1),"Хотя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земли",""),IF(OR(AF62="",AF62="Нет"),"Право собственности",""),IF(OR(AG62="",AG62="Нет"),"Справка об отсутствии обременений",""),IF(OR(W62="",W62&lt;=0),"Общая стоимость",""),IF(OR(X62="",X62&lt;=0),"Количество долей",""),IF(AND(X62&lt;&gt;"",X62&lt;&gt;INT(X62)),"Количество долей должно быть целым",""))))</f>
        <v/>
      </c>
      <c r="AJ62" s="35">
        <f>IF(NOT(COUNTA(A62:AH62)&gt;0),"",IF(TEXTJOIN(", ",TRUE,IF(AD62="","Описание",""),IF(AND(AA62&lt;&gt;"",AA62&gt;=1,AA62&lt;5),"Фото меньше 5",""),IF(AC62="","Видео",""),IF(H62="","Кадастровый номер",""),IF(AB62="","Ссылка на фото",""))="","",TEXTJOIN(", ",TRUE,IF(AD62="","Описание",""),IF(AND(AA62&lt;&gt;"",AA62&gt;=1,AA62&lt;5),"Фото меньше 5",""),IF(AC62="","Видео",""),IF(H62="","Кадастровый номер",""),IF(AB62="","Ссылка на фото",""))))</f>
        <v/>
      </c>
      <c r="AK62" s="35">
        <f>IF(NOT(COUNTA(A62:AH62)&gt;0),"",IF(AI62="","Можно публиковать","Не хватает"))</f>
        <v/>
      </c>
    </row>
    <row r="63" ht="22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  <c r="K63" s="31" t="n"/>
      <c r="L63" s="31" t="n"/>
      <c r="M63" s="32" t="n"/>
      <c r="N63" s="32" t="n"/>
      <c r="O63" s="32" t="n"/>
      <c r="P63" s="32" t="n"/>
      <c r="Q63" s="32" t="n"/>
      <c r="R63" s="32" t="n"/>
      <c r="S63" s="30" t="n"/>
      <c r="T63" s="30" t="n"/>
      <c r="U63" s="30" t="n"/>
      <c r="V63" s="30" t="n"/>
      <c r="W63" s="33" t="n"/>
      <c r="X63" s="32" t="n"/>
      <c r="Y63" s="41">
        <f>IF(OR(W63="",X63="",X63&lt;=0),"",W63/X63)</f>
        <v/>
      </c>
      <c r="Z63" s="30" t="n"/>
      <c r="AA63" s="32" t="n"/>
      <c r="AB63" s="30" t="n"/>
      <c r="AC63" s="30" t="n"/>
      <c r="AD63" s="30" t="n"/>
      <c r="AE63" s="30" t="n"/>
      <c r="AF63" s="30" t="n"/>
      <c r="AG63" s="30" t="n"/>
      <c r="AH63" s="30" t="n"/>
      <c r="AI63" s="35">
        <f>IF(NOT(COUNTA(A63:AH63)&gt;0),"",IF(TEXTJOIN(", ",TRUE,IF(B63="","Название",""),IF(C63="","Тип недвижимости",""),IF(D63="","Страна",""),IF(E63="","Город",""),IF(F63="","Улица",""),IF(I63="","Валюта",""),IF(OR(AA63="",AA63&lt;1),"Хотя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земли",""),IF(OR(AF63="",AF63="Нет"),"Право собственности",""),IF(OR(AG63="",AG63="Нет"),"Справка об отсутствии обременений",""),IF(OR(W63="",W63&lt;=0),"Общая стоимость",""),IF(OR(X63="",X63&lt;=0),"Количество долей",""),IF(AND(X63&lt;&gt;"",X63&lt;&gt;INT(X63)),"Количество долей должно быть целым",""))="","",TEXTJOIN(", ",TRUE,IF(B63="","Название",""),IF(C63="","Тип недвижимости",""),IF(D63="","Страна",""),IF(E63="","Город",""),IF(F63="","Улица",""),IF(I63="","Валюта",""),IF(OR(AA63="",AA63&lt;1),"Хотя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земли",""),IF(OR(AF63="",AF63="Нет"),"Право собственности",""),IF(OR(AG63="",AG63="Нет"),"Справка об отсутствии обременений",""),IF(OR(W63="",W63&lt;=0),"Общая стоимость",""),IF(OR(X63="",X63&lt;=0),"Количество долей",""),IF(AND(X63&lt;&gt;"",X63&lt;&gt;INT(X63)),"Количество долей должно быть целым",""))))</f>
        <v/>
      </c>
      <c r="AJ63" s="35">
        <f>IF(NOT(COUNTA(A63:AH63)&gt;0),"",IF(TEXTJOIN(", ",TRUE,IF(AD63="","Описание",""),IF(AND(AA63&lt;&gt;"",AA63&gt;=1,AA63&lt;5),"Фото меньше 5",""),IF(AC63="","Видео",""),IF(H63="","Кадастровый номер",""),IF(AB63="","Ссылка на фото",""))="","",TEXTJOIN(", ",TRUE,IF(AD63="","Описание",""),IF(AND(AA63&lt;&gt;"",AA63&gt;=1,AA63&lt;5),"Фото меньше 5",""),IF(AC63="","Видео",""),IF(H63="","Кадастровый номер",""),IF(AB63="","Ссылка на фото",""))))</f>
        <v/>
      </c>
      <c r="AK63" s="35">
        <f>IF(NOT(COUNTA(A63:AH63)&gt;0),"",IF(AI63="","Можно публиковать","Не хватает"))</f>
        <v/>
      </c>
    </row>
    <row r="64" ht="22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7" t="n"/>
      <c r="K64" s="37" t="n"/>
      <c r="L64" s="37" t="n"/>
      <c r="M64" s="38" t="n"/>
      <c r="N64" s="38" t="n"/>
      <c r="O64" s="38" t="n"/>
      <c r="P64" s="38" t="n"/>
      <c r="Q64" s="38" t="n"/>
      <c r="R64" s="38" t="n"/>
      <c r="S64" s="36" t="n"/>
      <c r="T64" s="36" t="n"/>
      <c r="U64" s="36" t="n"/>
      <c r="V64" s="36" t="n"/>
      <c r="W64" s="39" t="n"/>
      <c r="X64" s="38" t="n"/>
      <c r="Y64" s="41">
        <f>IF(OR(W64="",X64="",X64&lt;=0),"",W64/X64)</f>
        <v/>
      </c>
      <c r="Z64" s="36" t="n"/>
      <c r="AA64" s="38" t="n"/>
      <c r="AB64" s="36" t="n"/>
      <c r="AC64" s="36" t="n"/>
      <c r="AD64" s="36" t="n"/>
      <c r="AE64" s="36" t="n"/>
      <c r="AF64" s="36" t="n"/>
      <c r="AG64" s="36" t="n"/>
      <c r="AH64" s="36" t="n"/>
      <c r="AI64" s="35">
        <f>IF(NOT(COUNTA(A64:AH64)&gt;0),"",IF(TEXTJOIN(", ",TRUE,IF(B64="","Название",""),IF(C64="","Тип недвижимости",""),IF(D64="","Страна",""),IF(E64="","Город",""),IF(F64="","Улица",""),IF(I64="","Валюта",""),IF(OR(AA64="",AA64&lt;1),"Хотя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земли",""),IF(OR(AF64="",AF64="Нет"),"Право собственности",""),IF(OR(AG64="",AG64="Нет"),"Справка об отсутствии обременений",""),IF(OR(W64="",W64&lt;=0),"Общая стоимость",""),IF(OR(X64="",X64&lt;=0),"Количество долей",""),IF(AND(X64&lt;&gt;"",X64&lt;&gt;INT(X64)),"Количество долей должно быть целым",""))="","",TEXTJOIN(", ",TRUE,IF(B64="","Название",""),IF(C64="","Тип недвижимости",""),IF(D64="","Страна",""),IF(E64="","Город",""),IF(F64="","Улица",""),IF(I64="","Валюта",""),IF(OR(AA64="",AA64&lt;1),"Хотя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земли",""),IF(OR(AF64="",AF64="Нет"),"Право собственности",""),IF(OR(AG64="",AG64="Нет"),"Справка об отсутствии обременений",""),IF(OR(W64="",W64&lt;=0),"Общая стоимость",""),IF(OR(X64="",X64&lt;=0),"Количество долей",""),IF(AND(X64&lt;&gt;"",X64&lt;&gt;INT(X64)),"Количество долей должно быть целым",""))))</f>
        <v/>
      </c>
      <c r="AJ64" s="35">
        <f>IF(NOT(COUNTA(A64:AH64)&gt;0),"",IF(TEXTJOIN(", ",TRUE,IF(AD64="","Описание",""),IF(AND(AA64&lt;&gt;"",AA64&gt;=1,AA64&lt;5),"Фото меньше 5",""),IF(AC64="","Видео",""),IF(H64="","Кадастровый номер",""),IF(AB64="","Ссылка на фото",""))="","",TEXTJOIN(", ",TRUE,IF(AD64="","Описание",""),IF(AND(AA64&lt;&gt;"",AA64&gt;=1,AA64&lt;5),"Фото меньше 5",""),IF(AC64="","Видео",""),IF(H64="","Кадастровый номер",""),IF(AB64="","Ссылка на фото",""))))</f>
        <v/>
      </c>
      <c r="AK64" s="35">
        <f>IF(NOT(COUNTA(A64:AH64)&gt;0),"",IF(AI64="","Можно публиковать","Не хватает"))</f>
        <v/>
      </c>
    </row>
    <row r="65" ht="22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 t="n"/>
      <c r="K65" s="31" t="n"/>
      <c r="L65" s="31" t="n"/>
      <c r="M65" s="32" t="n"/>
      <c r="N65" s="32" t="n"/>
      <c r="O65" s="32" t="n"/>
      <c r="P65" s="32" t="n"/>
      <c r="Q65" s="32" t="n"/>
      <c r="R65" s="32" t="n"/>
      <c r="S65" s="30" t="n"/>
      <c r="T65" s="30" t="n"/>
      <c r="U65" s="30" t="n"/>
      <c r="V65" s="30" t="n"/>
      <c r="W65" s="33" t="n"/>
      <c r="X65" s="32" t="n"/>
      <c r="Y65" s="41">
        <f>IF(OR(W65="",X65="",X65&lt;=0),"",W65/X65)</f>
        <v/>
      </c>
      <c r="Z65" s="30" t="n"/>
      <c r="AA65" s="32" t="n"/>
      <c r="AB65" s="30" t="n"/>
      <c r="AC65" s="30" t="n"/>
      <c r="AD65" s="30" t="n"/>
      <c r="AE65" s="30" t="n"/>
      <c r="AF65" s="30" t="n"/>
      <c r="AG65" s="30" t="n"/>
      <c r="AH65" s="30" t="n"/>
      <c r="AI65" s="35">
        <f>IF(NOT(COUNTA(A65:AH65)&gt;0),"",IF(TEXTJOIN(", ",TRUE,IF(B65="","Название",""),IF(C65="","Тип недвижимости",""),IF(D65="","Страна",""),IF(E65="","Город",""),IF(F65="","Улица",""),IF(I65="","Валюта",""),IF(OR(AA65="",AA65&lt;1),"Хотя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земли",""),IF(OR(AF65="",AF65="Нет"),"Право собственности",""),IF(OR(AG65="",AG65="Нет"),"Справка об отсутствии обременений",""),IF(OR(W65="",W65&lt;=0),"Общая стоимость",""),IF(OR(X65="",X65&lt;=0),"Количество долей",""),IF(AND(X65&lt;&gt;"",X65&lt;&gt;INT(X65)),"Количество долей должно быть целым",""))="","",TEXTJOIN(", ",TRUE,IF(B65="","Название",""),IF(C65="","Тип недвижимости",""),IF(D65="","Страна",""),IF(E65="","Город",""),IF(F65="","Улица",""),IF(I65="","Валюта",""),IF(OR(AA65="",AA65&lt;1),"Хотя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земли",""),IF(OR(AF65="",AF65="Нет"),"Право собственности",""),IF(OR(AG65="",AG65="Нет"),"Справка об отсутствии обременений",""),IF(OR(W65="",W65&lt;=0),"Общая стоимость",""),IF(OR(X65="",X65&lt;=0),"Количество долей",""),IF(AND(X65&lt;&gt;"",X65&lt;&gt;INT(X65)),"Количество долей должно быть целым",""))))</f>
        <v/>
      </c>
      <c r="AJ65" s="35">
        <f>IF(NOT(COUNTA(A65:AH65)&gt;0),"",IF(TEXTJOIN(", ",TRUE,IF(AD65="","Описание",""),IF(AND(AA65&lt;&gt;"",AA65&gt;=1,AA65&lt;5),"Фото меньше 5",""),IF(AC65="","Видео",""),IF(H65="","Кадастровый номер",""),IF(AB65="","Ссылка на фото",""))="","",TEXTJOIN(", ",TRUE,IF(AD65="","Описание",""),IF(AND(AA65&lt;&gt;"",AA65&gt;=1,AA65&lt;5),"Фото меньше 5",""),IF(AC65="","Видео",""),IF(H65="","Кадастровый номер",""),IF(AB65="","Ссылка на фото",""))))</f>
        <v/>
      </c>
      <c r="AK65" s="35">
        <f>IF(NOT(COUNTA(A65:AH65)&gt;0),"",IF(AI65="","Можно публиковать","Не хватает"))</f>
        <v/>
      </c>
    </row>
    <row r="66" ht="22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7" t="n"/>
      <c r="K66" s="37" t="n"/>
      <c r="L66" s="37" t="n"/>
      <c r="M66" s="38" t="n"/>
      <c r="N66" s="38" t="n"/>
      <c r="O66" s="38" t="n"/>
      <c r="P66" s="38" t="n"/>
      <c r="Q66" s="38" t="n"/>
      <c r="R66" s="38" t="n"/>
      <c r="S66" s="36" t="n"/>
      <c r="T66" s="36" t="n"/>
      <c r="U66" s="36" t="n"/>
      <c r="V66" s="36" t="n"/>
      <c r="W66" s="39" t="n"/>
      <c r="X66" s="38" t="n"/>
      <c r="Y66" s="41">
        <f>IF(OR(W66="",X66="",X66&lt;=0),"",W66/X66)</f>
        <v/>
      </c>
      <c r="Z66" s="36" t="n"/>
      <c r="AA66" s="38" t="n"/>
      <c r="AB66" s="36" t="n"/>
      <c r="AC66" s="36" t="n"/>
      <c r="AD66" s="36" t="n"/>
      <c r="AE66" s="36" t="n"/>
      <c r="AF66" s="36" t="n"/>
      <c r="AG66" s="36" t="n"/>
      <c r="AH66" s="36" t="n"/>
      <c r="AI66" s="35">
        <f>IF(NOT(COUNTA(A66:AH66)&gt;0),"",IF(TEXTJOIN(", ",TRUE,IF(B66="","Название",""),IF(C66="","Тип недвижимости",""),IF(D66="","Страна",""),IF(E66="","Город",""),IF(F66="","Улица",""),IF(I66="","Валюта",""),IF(OR(AA66="",AA66&lt;1),"Хотя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земли",""),IF(OR(AF66="",AF66="Нет"),"Право собственности",""),IF(OR(AG66="",AG66="Нет"),"Справка об отсутствии обременений",""),IF(OR(W66="",W66&lt;=0),"Общая стоимость",""),IF(OR(X66="",X66&lt;=0),"Количество долей",""),IF(AND(X66&lt;&gt;"",X66&lt;&gt;INT(X66)),"Количество долей должно быть целым",""))="","",TEXTJOIN(", ",TRUE,IF(B66="","Название",""),IF(C66="","Тип недвижимости",""),IF(D66="","Страна",""),IF(E66="","Город",""),IF(F66="","Улица",""),IF(I66="","Валюта",""),IF(OR(AA66="",AA66&lt;1),"Хотя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земли",""),IF(OR(AF66="",AF66="Нет"),"Право собственности",""),IF(OR(AG66="",AG66="Нет"),"Справка об отсутствии обременений",""),IF(OR(W66="",W66&lt;=0),"Общая стоимость",""),IF(OR(X66="",X66&lt;=0),"Количество долей",""),IF(AND(X66&lt;&gt;"",X66&lt;&gt;INT(X66)),"Количество долей должно быть целым",""))))</f>
        <v/>
      </c>
      <c r="AJ66" s="35">
        <f>IF(NOT(COUNTA(A66:AH66)&gt;0),"",IF(TEXTJOIN(", ",TRUE,IF(AD66="","Описание",""),IF(AND(AA66&lt;&gt;"",AA66&gt;=1,AA66&lt;5),"Фото меньше 5",""),IF(AC66="","Видео",""),IF(H66="","Кадастровый номер",""),IF(AB66="","Ссылка на фото",""))="","",TEXTJOIN(", ",TRUE,IF(AD66="","Описание",""),IF(AND(AA66&lt;&gt;"",AA66&gt;=1,AA66&lt;5),"Фото меньше 5",""),IF(AC66="","Видео",""),IF(H66="","Кадастровый номер",""),IF(AB66="","Ссылка на фото",""))))</f>
        <v/>
      </c>
      <c r="AK66" s="35">
        <f>IF(NOT(COUNTA(A66:AH66)&gt;0),"",IF(AI66="","Можно публиковать","Не хватает"))</f>
        <v/>
      </c>
    </row>
    <row r="67" ht="22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 t="n"/>
      <c r="K67" s="31" t="n"/>
      <c r="L67" s="31" t="n"/>
      <c r="M67" s="32" t="n"/>
      <c r="N67" s="32" t="n"/>
      <c r="O67" s="32" t="n"/>
      <c r="P67" s="32" t="n"/>
      <c r="Q67" s="32" t="n"/>
      <c r="R67" s="32" t="n"/>
      <c r="S67" s="30" t="n"/>
      <c r="T67" s="30" t="n"/>
      <c r="U67" s="30" t="n"/>
      <c r="V67" s="30" t="n"/>
      <c r="W67" s="33" t="n"/>
      <c r="X67" s="32" t="n"/>
      <c r="Y67" s="41">
        <f>IF(OR(W67="",X67="",X67&lt;=0),"",W67/X67)</f>
        <v/>
      </c>
      <c r="Z67" s="30" t="n"/>
      <c r="AA67" s="32" t="n"/>
      <c r="AB67" s="30" t="n"/>
      <c r="AC67" s="30" t="n"/>
      <c r="AD67" s="30" t="n"/>
      <c r="AE67" s="30" t="n"/>
      <c r="AF67" s="30" t="n"/>
      <c r="AG67" s="30" t="n"/>
      <c r="AH67" s="30" t="n"/>
      <c r="AI67" s="35">
        <f>IF(NOT(COUNTA(A67:AH67)&gt;0),"",IF(TEXTJOIN(", ",TRUE,IF(B67="","Название",""),IF(C67="","Тип недвижимости",""),IF(D67="","Страна",""),IF(E67="","Город",""),IF(F67="","Улица",""),IF(I67="","Валюта",""),IF(OR(AA67="",AA67&lt;1),"Хотя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земли",""),IF(OR(AF67="",AF67="Нет"),"Право собственности",""),IF(OR(AG67="",AG67="Нет"),"Справка об отсутствии обременений",""),IF(OR(W67="",W67&lt;=0),"Общая стоимость",""),IF(OR(X67="",X67&lt;=0),"Количество долей",""),IF(AND(X67&lt;&gt;"",X67&lt;&gt;INT(X67)),"Количество долей должно быть целым",""))="","",TEXTJOIN(", ",TRUE,IF(B67="","Название",""),IF(C67="","Тип недвижимости",""),IF(D67="","Страна",""),IF(E67="","Город",""),IF(F67="","Улица",""),IF(I67="","Валюта",""),IF(OR(AA67="",AA67&lt;1),"Хотя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земли",""),IF(OR(AF67="",AF67="Нет"),"Право собственности",""),IF(OR(AG67="",AG67="Нет"),"Справка об отсутствии обременений",""),IF(OR(W67="",W67&lt;=0),"Общая стоимость",""),IF(OR(X67="",X67&lt;=0),"Количество долей",""),IF(AND(X67&lt;&gt;"",X67&lt;&gt;INT(X67)),"Количество долей должно быть целым",""))))</f>
        <v/>
      </c>
      <c r="AJ67" s="35">
        <f>IF(NOT(COUNTA(A67:AH67)&gt;0),"",IF(TEXTJOIN(", ",TRUE,IF(AD67="","Описание",""),IF(AND(AA67&lt;&gt;"",AA67&gt;=1,AA67&lt;5),"Фото меньше 5",""),IF(AC67="","Видео",""),IF(H67="","Кадастровый номер",""),IF(AB67="","Ссылка на фото",""))="","",TEXTJOIN(", ",TRUE,IF(AD67="","Описание",""),IF(AND(AA67&lt;&gt;"",AA67&gt;=1,AA67&lt;5),"Фото меньше 5",""),IF(AC67="","Видео",""),IF(H67="","Кадастровый номер",""),IF(AB67="","Ссылка на фото",""))))</f>
        <v/>
      </c>
      <c r="AK67" s="35">
        <f>IF(NOT(COUNTA(A67:AH67)&gt;0),"",IF(AI67="","Можно публиковать","Не хватает"))</f>
        <v/>
      </c>
    </row>
    <row r="68" ht="22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7" t="n"/>
      <c r="K68" s="37" t="n"/>
      <c r="L68" s="37" t="n"/>
      <c r="M68" s="38" t="n"/>
      <c r="N68" s="38" t="n"/>
      <c r="O68" s="38" t="n"/>
      <c r="P68" s="38" t="n"/>
      <c r="Q68" s="38" t="n"/>
      <c r="R68" s="38" t="n"/>
      <c r="S68" s="36" t="n"/>
      <c r="T68" s="36" t="n"/>
      <c r="U68" s="36" t="n"/>
      <c r="V68" s="36" t="n"/>
      <c r="W68" s="39" t="n"/>
      <c r="X68" s="38" t="n"/>
      <c r="Y68" s="41">
        <f>IF(OR(W68="",X68="",X68&lt;=0),"",W68/X68)</f>
        <v/>
      </c>
      <c r="Z68" s="36" t="n"/>
      <c r="AA68" s="38" t="n"/>
      <c r="AB68" s="36" t="n"/>
      <c r="AC68" s="36" t="n"/>
      <c r="AD68" s="36" t="n"/>
      <c r="AE68" s="36" t="n"/>
      <c r="AF68" s="36" t="n"/>
      <c r="AG68" s="36" t="n"/>
      <c r="AH68" s="36" t="n"/>
      <c r="AI68" s="35">
        <f>IF(NOT(COUNTA(A68:AH68)&gt;0),"",IF(TEXTJOIN(", ",TRUE,IF(B68="","Название",""),IF(C68="","Тип недвижимости",""),IF(D68="","Страна",""),IF(E68="","Город",""),IF(F68="","Улица",""),IF(I68="","Валюта",""),IF(OR(AA68="",AA68&lt;1),"Хотя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земли",""),IF(OR(AF68="",AF68="Нет"),"Право собственности",""),IF(OR(AG68="",AG68="Нет"),"Справка об отсутствии обременений",""),IF(OR(W68="",W68&lt;=0),"Общая стоимость",""),IF(OR(X68="",X68&lt;=0),"Количество долей",""),IF(AND(X68&lt;&gt;"",X68&lt;&gt;INT(X68)),"Количество долей должно быть целым",""))="","",TEXTJOIN(", ",TRUE,IF(B68="","Название",""),IF(C68="","Тип недвижимости",""),IF(D68="","Страна",""),IF(E68="","Город",""),IF(F68="","Улица",""),IF(I68="","Валюта",""),IF(OR(AA68="",AA68&lt;1),"Хотя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земли",""),IF(OR(AF68="",AF68="Нет"),"Право собственности",""),IF(OR(AG68="",AG68="Нет"),"Справка об отсутствии обременений",""),IF(OR(W68="",W68&lt;=0),"Общая стоимость",""),IF(OR(X68="",X68&lt;=0),"Количество долей",""),IF(AND(X68&lt;&gt;"",X68&lt;&gt;INT(X68)),"Количество долей должно быть целым",""))))</f>
        <v/>
      </c>
      <c r="AJ68" s="35">
        <f>IF(NOT(COUNTA(A68:AH68)&gt;0),"",IF(TEXTJOIN(", ",TRUE,IF(AD68="","Описание",""),IF(AND(AA68&lt;&gt;"",AA68&gt;=1,AA68&lt;5),"Фото меньше 5",""),IF(AC68="","Видео",""),IF(H68="","Кадастровый номер",""),IF(AB68="","Ссылка на фото",""))="","",TEXTJOIN(", ",TRUE,IF(AD68="","Описание",""),IF(AND(AA68&lt;&gt;"",AA68&gt;=1,AA68&lt;5),"Фото меньше 5",""),IF(AC68="","Видео",""),IF(H68="","Кадастровый номер",""),IF(AB68="","Ссылка на фото",""))))</f>
        <v/>
      </c>
      <c r="AK68" s="35">
        <f>IF(NOT(COUNTA(A68:AH68)&gt;0),"",IF(AI68="","Можно публиковать","Не хватает"))</f>
        <v/>
      </c>
    </row>
    <row r="69" ht="22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 t="n"/>
      <c r="K69" s="31" t="n"/>
      <c r="L69" s="31" t="n"/>
      <c r="M69" s="32" t="n"/>
      <c r="N69" s="32" t="n"/>
      <c r="O69" s="32" t="n"/>
      <c r="P69" s="32" t="n"/>
      <c r="Q69" s="32" t="n"/>
      <c r="R69" s="32" t="n"/>
      <c r="S69" s="30" t="n"/>
      <c r="T69" s="30" t="n"/>
      <c r="U69" s="30" t="n"/>
      <c r="V69" s="30" t="n"/>
      <c r="W69" s="33" t="n"/>
      <c r="X69" s="32" t="n"/>
      <c r="Y69" s="41">
        <f>IF(OR(W69="",X69="",X69&lt;=0),"",W69/X69)</f>
        <v/>
      </c>
      <c r="Z69" s="30" t="n"/>
      <c r="AA69" s="32" t="n"/>
      <c r="AB69" s="30" t="n"/>
      <c r="AC69" s="30" t="n"/>
      <c r="AD69" s="30" t="n"/>
      <c r="AE69" s="30" t="n"/>
      <c r="AF69" s="30" t="n"/>
      <c r="AG69" s="30" t="n"/>
      <c r="AH69" s="30" t="n"/>
      <c r="AI69" s="35">
        <f>IF(NOT(COUNTA(A69:AH69)&gt;0),"",IF(TEXTJOIN(", ",TRUE,IF(B69="","Название",""),IF(C69="","Тип недвижимости",""),IF(D69="","Страна",""),IF(E69="","Город",""),IF(F69="","Улица",""),IF(I69="","Валюта",""),IF(OR(AA69="",AA69&lt;1),"Хотя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земли",""),IF(OR(AF69="",AF69="Нет"),"Право собственности",""),IF(OR(AG69="",AG69="Нет"),"Справка об отсутствии обременений",""),IF(OR(W69="",W69&lt;=0),"Общая стоимость",""),IF(OR(X69="",X69&lt;=0),"Количество долей",""),IF(AND(X69&lt;&gt;"",X69&lt;&gt;INT(X69)),"Количество долей должно быть целым",""))="","",TEXTJOIN(", ",TRUE,IF(B69="","Название",""),IF(C69="","Тип недвижимости",""),IF(D69="","Страна",""),IF(E69="","Город",""),IF(F69="","Улица",""),IF(I69="","Валюта",""),IF(OR(AA69="",AA69&lt;1),"Хотя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земли",""),IF(OR(AF69="",AF69="Нет"),"Право собственности",""),IF(OR(AG69="",AG69="Нет"),"Справка об отсутствии обременений",""),IF(OR(W69="",W69&lt;=0),"Общая стоимость",""),IF(OR(X69="",X69&lt;=0),"Количество долей",""),IF(AND(X69&lt;&gt;"",X69&lt;&gt;INT(X69)),"Количество долей должно быть целым",""))))</f>
        <v/>
      </c>
      <c r="AJ69" s="35">
        <f>IF(NOT(COUNTA(A69:AH69)&gt;0),"",IF(TEXTJOIN(", ",TRUE,IF(AD69="","Описание",""),IF(AND(AA69&lt;&gt;"",AA69&gt;=1,AA69&lt;5),"Фото меньше 5",""),IF(AC69="","Видео",""),IF(H69="","Кадастровый номер",""),IF(AB69="","Ссылка на фото",""))="","",TEXTJOIN(", ",TRUE,IF(AD69="","Описание",""),IF(AND(AA69&lt;&gt;"",AA69&gt;=1,AA69&lt;5),"Фото меньше 5",""),IF(AC69="","Видео",""),IF(H69="","Кадастровый номер",""),IF(AB69="","Ссылка на фото",""))))</f>
        <v/>
      </c>
      <c r="AK69" s="35">
        <f>IF(NOT(COUNTA(A69:AH69)&gt;0),"",IF(AI69="","Можно публиковать","Не хватает"))</f>
        <v/>
      </c>
    </row>
    <row r="70" ht="22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7" t="n"/>
      <c r="K70" s="37" t="n"/>
      <c r="L70" s="37" t="n"/>
      <c r="M70" s="38" t="n"/>
      <c r="N70" s="38" t="n"/>
      <c r="O70" s="38" t="n"/>
      <c r="P70" s="38" t="n"/>
      <c r="Q70" s="38" t="n"/>
      <c r="R70" s="38" t="n"/>
      <c r="S70" s="36" t="n"/>
      <c r="T70" s="36" t="n"/>
      <c r="U70" s="36" t="n"/>
      <c r="V70" s="36" t="n"/>
      <c r="W70" s="39" t="n"/>
      <c r="X70" s="38" t="n"/>
      <c r="Y70" s="41">
        <f>IF(OR(W70="",X70="",X70&lt;=0),"",W70/X70)</f>
        <v/>
      </c>
      <c r="Z70" s="36" t="n"/>
      <c r="AA70" s="38" t="n"/>
      <c r="AB70" s="36" t="n"/>
      <c r="AC70" s="36" t="n"/>
      <c r="AD70" s="36" t="n"/>
      <c r="AE70" s="36" t="n"/>
      <c r="AF70" s="36" t="n"/>
      <c r="AG70" s="36" t="n"/>
      <c r="AH70" s="36" t="n"/>
      <c r="AI70" s="35">
        <f>IF(NOT(COUNTA(A70:AH70)&gt;0),"",IF(TEXTJOIN(", ",TRUE,IF(B70="","Название",""),IF(C70="","Тип недвижимости",""),IF(D70="","Страна",""),IF(E70="","Город",""),IF(F70="","Улица",""),IF(I70="","Валюта",""),IF(OR(AA70="",AA70&lt;1),"Хотя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земли",""),IF(OR(AF70="",AF70="Нет"),"Право собственности",""),IF(OR(AG70="",AG70="Нет"),"Справка об отсутствии обременений",""),IF(OR(W70="",W70&lt;=0),"Общая стоимость",""),IF(OR(X70="",X70&lt;=0),"Количество долей",""),IF(AND(X70&lt;&gt;"",X70&lt;&gt;INT(X70)),"Количество долей должно быть целым",""))="","",TEXTJOIN(", ",TRUE,IF(B70="","Название",""),IF(C70="","Тип недвижимости",""),IF(D70="","Страна",""),IF(E70="","Город",""),IF(F70="","Улица",""),IF(I70="","Валюта",""),IF(OR(AA70="",AA70&lt;1),"Хотя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земли",""),IF(OR(AF70="",AF70="Нет"),"Право собственности",""),IF(OR(AG70="",AG70="Нет"),"Справка об отсутствии обременений",""),IF(OR(W70="",W70&lt;=0),"Общая стоимость",""),IF(OR(X70="",X70&lt;=0),"Количество долей",""),IF(AND(X70&lt;&gt;"",X70&lt;&gt;INT(X70)),"Количество долей должно быть целым",""))))</f>
        <v/>
      </c>
      <c r="AJ70" s="35">
        <f>IF(NOT(COUNTA(A70:AH70)&gt;0),"",IF(TEXTJOIN(", ",TRUE,IF(AD70="","Описание",""),IF(AND(AA70&lt;&gt;"",AA70&gt;=1,AA70&lt;5),"Фото меньше 5",""),IF(AC70="","Видео",""),IF(H70="","Кадастровый номер",""),IF(AB70="","Ссылка на фото",""))="","",TEXTJOIN(", ",TRUE,IF(AD70="","Описание",""),IF(AND(AA70&lt;&gt;"",AA70&gt;=1,AA70&lt;5),"Фото меньше 5",""),IF(AC70="","Видео",""),IF(H70="","Кадастровый номер",""),IF(AB70="","Ссылка на фото",""))))</f>
        <v/>
      </c>
      <c r="AK70" s="35">
        <f>IF(NOT(COUNTA(A70:AH70)&gt;0),"",IF(AI70="","Можно публиковать","Не хватает"))</f>
        <v/>
      </c>
    </row>
    <row r="71" ht="22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 t="n"/>
      <c r="K71" s="31" t="n"/>
      <c r="L71" s="31" t="n"/>
      <c r="M71" s="32" t="n"/>
      <c r="N71" s="32" t="n"/>
      <c r="O71" s="32" t="n"/>
      <c r="P71" s="32" t="n"/>
      <c r="Q71" s="32" t="n"/>
      <c r="R71" s="32" t="n"/>
      <c r="S71" s="30" t="n"/>
      <c r="T71" s="30" t="n"/>
      <c r="U71" s="30" t="n"/>
      <c r="V71" s="30" t="n"/>
      <c r="W71" s="33" t="n"/>
      <c r="X71" s="32" t="n"/>
      <c r="Y71" s="41">
        <f>IF(OR(W71="",X71="",X71&lt;=0),"",W71/X71)</f>
        <v/>
      </c>
      <c r="Z71" s="30" t="n"/>
      <c r="AA71" s="32" t="n"/>
      <c r="AB71" s="30" t="n"/>
      <c r="AC71" s="30" t="n"/>
      <c r="AD71" s="30" t="n"/>
      <c r="AE71" s="30" t="n"/>
      <c r="AF71" s="30" t="n"/>
      <c r="AG71" s="30" t="n"/>
      <c r="AH71" s="30" t="n"/>
      <c r="AI71" s="35">
        <f>IF(NOT(COUNTA(A71:AH71)&gt;0),"",IF(TEXTJOIN(", ",TRUE,IF(B71="","Название",""),IF(C71="","Тип недвижимости",""),IF(D71="","Страна",""),IF(E71="","Город",""),IF(F71="","Улица",""),IF(I71="","Валюта",""),IF(OR(AA71="",AA71&lt;1),"Хотя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земли",""),IF(OR(AF71="",AF71="Нет"),"Право собственности",""),IF(OR(AG71="",AG71="Нет"),"Справка об отсутствии обременений",""),IF(OR(W71="",W71&lt;=0),"Общая стоимость",""),IF(OR(X71="",X71&lt;=0),"Количество долей",""),IF(AND(X71&lt;&gt;"",X71&lt;&gt;INT(X71)),"Количество долей должно быть целым",""))="","",TEXTJOIN(", ",TRUE,IF(B71="","Название",""),IF(C71="","Тип недвижимости",""),IF(D71="","Страна",""),IF(E71="","Город",""),IF(F71="","Улица",""),IF(I71="","Валюта",""),IF(OR(AA71="",AA71&lt;1),"Хотя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земли",""),IF(OR(AF71="",AF71="Нет"),"Право собственности",""),IF(OR(AG71="",AG71="Нет"),"Справка об отсутствии обременений",""),IF(OR(W71="",W71&lt;=0),"Общая стоимость",""),IF(OR(X71="",X71&lt;=0),"Количество долей",""),IF(AND(X71&lt;&gt;"",X71&lt;&gt;INT(X71)),"Количество долей должно быть целым",""))))</f>
        <v/>
      </c>
      <c r="AJ71" s="35">
        <f>IF(NOT(COUNTA(A71:AH71)&gt;0),"",IF(TEXTJOIN(", ",TRUE,IF(AD71="","Описание",""),IF(AND(AA71&lt;&gt;"",AA71&gt;=1,AA71&lt;5),"Фото меньше 5",""),IF(AC71="","Видео",""),IF(H71="","Кадастровый номер",""),IF(AB71="","Ссылка на фото",""))="","",TEXTJOIN(", ",TRUE,IF(AD71="","Описание",""),IF(AND(AA71&lt;&gt;"",AA71&gt;=1,AA71&lt;5),"Фото меньше 5",""),IF(AC71="","Видео",""),IF(H71="","Кадастровый номер",""),IF(AB71="","Ссылка на фото",""))))</f>
        <v/>
      </c>
      <c r="AK71" s="35">
        <f>IF(NOT(COUNTA(A71:AH71)&gt;0),"",IF(AI71="","Можно публиковать","Не хватает"))</f>
        <v/>
      </c>
    </row>
    <row r="72" ht="22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7" t="n"/>
      <c r="K72" s="37" t="n"/>
      <c r="L72" s="37" t="n"/>
      <c r="M72" s="38" t="n"/>
      <c r="N72" s="38" t="n"/>
      <c r="O72" s="38" t="n"/>
      <c r="P72" s="38" t="n"/>
      <c r="Q72" s="38" t="n"/>
      <c r="R72" s="38" t="n"/>
      <c r="S72" s="36" t="n"/>
      <c r="T72" s="36" t="n"/>
      <c r="U72" s="36" t="n"/>
      <c r="V72" s="36" t="n"/>
      <c r="W72" s="39" t="n"/>
      <c r="X72" s="38" t="n"/>
      <c r="Y72" s="41">
        <f>IF(OR(W72="",X72="",X72&lt;=0),"",W72/X72)</f>
        <v/>
      </c>
      <c r="Z72" s="36" t="n"/>
      <c r="AA72" s="38" t="n"/>
      <c r="AB72" s="36" t="n"/>
      <c r="AC72" s="36" t="n"/>
      <c r="AD72" s="36" t="n"/>
      <c r="AE72" s="36" t="n"/>
      <c r="AF72" s="36" t="n"/>
      <c r="AG72" s="36" t="n"/>
      <c r="AH72" s="36" t="n"/>
      <c r="AI72" s="35">
        <f>IF(NOT(COUNTA(A72:AH72)&gt;0),"",IF(TEXTJOIN(", ",TRUE,IF(B72="","Название",""),IF(C72="","Тип недвижимости",""),IF(D72="","Страна",""),IF(E72="","Город",""),IF(F72="","Улица",""),IF(I72="","Валюта",""),IF(OR(AA72="",AA72&lt;1),"Хотя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земли",""),IF(OR(AF72="",AF72="Нет"),"Право собственности",""),IF(OR(AG72="",AG72="Нет"),"Справка об отсутствии обременений",""),IF(OR(W72="",W72&lt;=0),"Общая стоимость",""),IF(OR(X72="",X72&lt;=0),"Количество долей",""),IF(AND(X72&lt;&gt;"",X72&lt;&gt;INT(X72)),"Количество долей должно быть целым",""))="","",TEXTJOIN(", ",TRUE,IF(B72="","Название",""),IF(C72="","Тип недвижимости",""),IF(D72="","Страна",""),IF(E72="","Город",""),IF(F72="","Улица",""),IF(I72="","Валюта",""),IF(OR(AA72="",AA72&lt;1),"Хотя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земли",""),IF(OR(AF72="",AF72="Нет"),"Право собственности",""),IF(OR(AG72="",AG72="Нет"),"Справка об отсутствии обременений",""),IF(OR(W72="",W72&lt;=0),"Общая стоимость",""),IF(OR(X72="",X72&lt;=0),"Количество долей",""),IF(AND(X72&lt;&gt;"",X72&lt;&gt;INT(X72)),"Количество долей должно быть целым",""))))</f>
        <v/>
      </c>
      <c r="AJ72" s="35">
        <f>IF(NOT(COUNTA(A72:AH72)&gt;0),"",IF(TEXTJOIN(", ",TRUE,IF(AD72="","Описание",""),IF(AND(AA72&lt;&gt;"",AA72&gt;=1,AA72&lt;5),"Фото меньше 5",""),IF(AC72="","Видео",""),IF(H72="","Кадастровый номер",""),IF(AB72="","Ссылка на фото",""))="","",TEXTJOIN(", ",TRUE,IF(AD72="","Описание",""),IF(AND(AA72&lt;&gt;"",AA72&gt;=1,AA72&lt;5),"Фото меньше 5",""),IF(AC72="","Видео",""),IF(H72="","Кадастровый номер",""),IF(AB72="","Ссылка на фото",""))))</f>
        <v/>
      </c>
      <c r="AK72" s="35">
        <f>IF(NOT(COUNTA(A72:AH72)&gt;0),"",IF(AI72="","Можно публиковать","Не хватает"))</f>
        <v/>
      </c>
    </row>
    <row r="73" ht="22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 t="n"/>
      <c r="K73" s="31" t="n"/>
      <c r="L73" s="31" t="n"/>
      <c r="M73" s="32" t="n"/>
      <c r="N73" s="32" t="n"/>
      <c r="O73" s="32" t="n"/>
      <c r="P73" s="32" t="n"/>
      <c r="Q73" s="32" t="n"/>
      <c r="R73" s="32" t="n"/>
      <c r="S73" s="30" t="n"/>
      <c r="T73" s="30" t="n"/>
      <c r="U73" s="30" t="n"/>
      <c r="V73" s="30" t="n"/>
      <c r="W73" s="33" t="n"/>
      <c r="X73" s="32" t="n"/>
      <c r="Y73" s="41">
        <f>IF(OR(W73="",X73="",X73&lt;=0),"",W73/X73)</f>
        <v/>
      </c>
      <c r="Z73" s="30" t="n"/>
      <c r="AA73" s="32" t="n"/>
      <c r="AB73" s="30" t="n"/>
      <c r="AC73" s="30" t="n"/>
      <c r="AD73" s="30" t="n"/>
      <c r="AE73" s="30" t="n"/>
      <c r="AF73" s="30" t="n"/>
      <c r="AG73" s="30" t="n"/>
      <c r="AH73" s="30" t="n"/>
      <c r="AI73" s="35">
        <f>IF(NOT(COUNTA(A73:AH73)&gt;0),"",IF(TEXTJOIN(", ",TRUE,IF(B73="","Название",""),IF(C73="","Тип недвижимости",""),IF(D73="","Страна",""),IF(E73="","Город",""),IF(F73="","Улица",""),IF(I73="","Валюта",""),IF(OR(AA73="",AA73&lt;1),"Хотя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земли",""),IF(OR(AF73="",AF73="Нет"),"Право собственности",""),IF(OR(AG73="",AG73="Нет"),"Справка об отсутствии обременений",""),IF(OR(W73="",W73&lt;=0),"Общая стоимость",""),IF(OR(X73="",X73&lt;=0),"Количество долей",""),IF(AND(X73&lt;&gt;"",X73&lt;&gt;INT(X73)),"Количество долей должно быть целым",""))="","",TEXTJOIN(", ",TRUE,IF(B73="","Название",""),IF(C73="","Тип недвижимости",""),IF(D73="","Страна",""),IF(E73="","Город",""),IF(F73="","Улица",""),IF(I73="","Валюта",""),IF(OR(AA73="",AA73&lt;1),"Хотя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земли",""),IF(OR(AF73="",AF73="Нет"),"Право собственности",""),IF(OR(AG73="",AG73="Нет"),"Справка об отсутствии обременений",""),IF(OR(W73="",W73&lt;=0),"Общая стоимость",""),IF(OR(X73="",X73&lt;=0),"Количество долей",""),IF(AND(X73&lt;&gt;"",X73&lt;&gt;INT(X73)),"Количество долей должно быть целым",""))))</f>
        <v/>
      </c>
      <c r="AJ73" s="35">
        <f>IF(NOT(COUNTA(A73:AH73)&gt;0),"",IF(TEXTJOIN(", ",TRUE,IF(AD73="","Описание",""),IF(AND(AA73&lt;&gt;"",AA73&gt;=1,AA73&lt;5),"Фото меньше 5",""),IF(AC73="","Видео",""),IF(H73="","Кадастровый номер",""),IF(AB73="","Ссылка на фото",""))="","",TEXTJOIN(", ",TRUE,IF(AD73="","Описание",""),IF(AND(AA73&lt;&gt;"",AA73&gt;=1,AA73&lt;5),"Фото меньше 5",""),IF(AC73="","Видео",""),IF(H73="","Кадастровый номер",""),IF(AB73="","Ссылка на фото",""))))</f>
        <v/>
      </c>
      <c r="AK73" s="35">
        <f>IF(NOT(COUNTA(A73:AH73)&gt;0),"",IF(AI73="","Можно публиковать","Не хватает"))</f>
        <v/>
      </c>
    </row>
    <row r="74" ht="22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7" t="n"/>
      <c r="K74" s="37" t="n"/>
      <c r="L74" s="37" t="n"/>
      <c r="M74" s="38" t="n"/>
      <c r="N74" s="38" t="n"/>
      <c r="O74" s="38" t="n"/>
      <c r="P74" s="38" t="n"/>
      <c r="Q74" s="38" t="n"/>
      <c r="R74" s="38" t="n"/>
      <c r="S74" s="36" t="n"/>
      <c r="T74" s="36" t="n"/>
      <c r="U74" s="36" t="n"/>
      <c r="V74" s="36" t="n"/>
      <c r="W74" s="39" t="n"/>
      <c r="X74" s="38" t="n"/>
      <c r="Y74" s="41">
        <f>IF(OR(W74="",X74="",X74&lt;=0),"",W74/X74)</f>
        <v/>
      </c>
      <c r="Z74" s="36" t="n"/>
      <c r="AA74" s="38" t="n"/>
      <c r="AB74" s="36" t="n"/>
      <c r="AC74" s="36" t="n"/>
      <c r="AD74" s="36" t="n"/>
      <c r="AE74" s="36" t="n"/>
      <c r="AF74" s="36" t="n"/>
      <c r="AG74" s="36" t="n"/>
      <c r="AH74" s="36" t="n"/>
      <c r="AI74" s="35">
        <f>IF(NOT(COUNTA(A74:AH74)&gt;0),"",IF(TEXTJOIN(", ",TRUE,IF(B74="","Название",""),IF(C74="","Тип недвижимости",""),IF(D74="","Страна",""),IF(E74="","Город",""),IF(F74="","Улица",""),IF(I74="","Валюта",""),IF(OR(AA74="",AA74&lt;1),"Хотя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земли",""),IF(OR(AF74="",AF74="Нет"),"Право собственности",""),IF(OR(AG74="",AG74="Нет"),"Справка об отсутствии обременений",""),IF(OR(W74="",W74&lt;=0),"Общая стоимость",""),IF(OR(X74="",X74&lt;=0),"Количество долей",""),IF(AND(X74&lt;&gt;"",X74&lt;&gt;INT(X74)),"Количество долей должно быть целым",""))="","",TEXTJOIN(", ",TRUE,IF(B74="","Название",""),IF(C74="","Тип недвижимости",""),IF(D74="","Страна",""),IF(E74="","Город",""),IF(F74="","Улица",""),IF(I74="","Валюта",""),IF(OR(AA74="",AA74&lt;1),"Хотя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земли",""),IF(OR(AF74="",AF74="Нет"),"Право собственности",""),IF(OR(AG74="",AG74="Нет"),"Справка об отсутствии обременений",""),IF(OR(W74="",W74&lt;=0),"Общая стоимость",""),IF(OR(X74="",X74&lt;=0),"Количество долей",""),IF(AND(X74&lt;&gt;"",X74&lt;&gt;INT(X74)),"Количество долей должно быть целым",""))))</f>
        <v/>
      </c>
      <c r="AJ74" s="35">
        <f>IF(NOT(COUNTA(A74:AH74)&gt;0),"",IF(TEXTJOIN(", ",TRUE,IF(AD74="","Описание",""),IF(AND(AA74&lt;&gt;"",AA74&gt;=1,AA74&lt;5),"Фото меньше 5",""),IF(AC74="","Видео",""),IF(H74="","Кадастровый номер",""),IF(AB74="","Ссылка на фото",""))="","",TEXTJOIN(", ",TRUE,IF(AD74="","Описание",""),IF(AND(AA74&lt;&gt;"",AA74&gt;=1,AA74&lt;5),"Фото меньше 5",""),IF(AC74="","Видео",""),IF(H74="","Кадастровый номер",""),IF(AB74="","Ссылка на фото",""))))</f>
        <v/>
      </c>
      <c r="AK74" s="35">
        <f>IF(NOT(COUNTA(A74:AH74)&gt;0),"",IF(AI74="","Можно публиковать","Не хватает"))</f>
        <v/>
      </c>
    </row>
    <row r="75" ht="22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 t="n"/>
      <c r="K75" s="31" t="n"/>
      <c r="L75" s="31" t="n"/>
      <c r="M75" s="32" t="n"/>
      <c r="N75" s="32" t="n"/>
      <c r="O75" s="32" t="n"/>
      <c r="P75" s="32" t="n"/>
      <c r="Q75" s="32" t="n"/>
      <c r="R75" s="32" t="n"/>
      <c r="S75" s="30" t="n"/>
      <c r="T75" s="30" t="n"/>
      <c r="U75" s="30" t="n"/>
      <c r="V75" s="30" t="n"/>
      <c r="W75" s="33" t="n"/>
      <c r="X75" s="32" t="n"/>
      <c r="Y75" s="41">
        <f>IF(OR(W75="",X75="",X75&lt;=0),"",W75/X75)</f>
        <v/>
      </c>
      <c r="Z75" s="30" t="n"/>
      <c r="AA75" s="32" t="n"/>
      <c r="AB75" s="30" t="n"/>
      <c r="AC75" s="30" t="n"/>
      <c r="AD75" s="30" t="n"/>
      <c r="AE75" s="30" t="n"/>
      <c r="AF75" s="30" t="n"/>
      <c r="AG75" s="30" t="n"/>
      <c r="AH75" s="30" t="n"/>
      <c r="AI75" s="35">
        <f>IF(NOT(COUNTA(A75:AH75)&gt;0),"",IF(TEXTJOIN(", ",TRUE,IF(B75="","Название",""),IF(C75="","Тип недвижимости",""),IF(D75="","Страна",""),IF(E75="","Город",""),IF(F75="","Улица",""),IF(I75="","Валюта",""),IF(OR(AA75="",AA75&lt;1),"Хотя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земли",""),IF(OR(AF75="",AF75="Нет"),"Право собственности",""),IF(OR(AG75="",AG75="Нет"),"Справка об отсутствии обременений",""),IF(OR(W75="",W75&lt;=0),"Общая стоимость",""),IF(OR(X75="",X75&lt;=0),"Количество долей",""),IF(AND(X75&lt;&gt;"",X75&lt;&gt;INT(X75)),"Количество долей должно быть целым",""))="","",TEXTJOIN(", ",TRUE,IF(B75="","Название",""),IF(C75="","Тип недвижимости",""),IF(D75="","Страна",""),IF(E75="","Город",""),IF(F75="","Улица",""),IF(I75="","Валюта",""),IF(OR(AA75="",AA75&lt;1),"Хотя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земли",""),IF(OR(AF75="",AF75="Нет"),"Право собственности",""),IF(OR(AG75="",AG75="Нет"),"Справка об отсутствии обременений",""),IF(OR(W75="",W75&lt;=0),"Общая стоимость",""),IF(OR(X75="",X75&lt;=0),"Количество долей",""),IF(AND(X75&lt;&gt;"",X75&lt;&gt;INT(X75)),"Количество долей должно быть целым",""))))</f>
        <v/>
      </c>
      <c r="AJ75" s="35">
        <f>IF(NOT(COUNTA(A75:AH75)&gt;0),"",IF(TEXTJOIN(", ",TRUE,IF(AD75="","Описание",""),IF(AND(AA75&lt;&gt;"",AA75&gt;=1,AA75&lt;5),"Фото меньше 5",""),IF(AC75="","Видео",""),IF(H75="","Кадастровый номер",""),IF(AB75="","Ссылка на фото",""))="","",TEXTJOIN(", ",TRUE,IF(AD75="","Описание",""),IF(AND(AA75&lt;&gt;"",AA75&gt;=1,AA75&lt;5),"Фото меньше 5",""),IF(AC75="","Видео",""),IF(H75="","Кадастровый номер",""),IF(AB75="","Ссылка на фото",""))))</f>
        <v/>
      </c>
      <c r="AK75" s="35">
        <f>IF(NOT(COUNTA(A75:AH75)&gt;0),"",IF(AI75="","Можно публиковать","Не хватает"))</f>
        <v/>
      </c>
    </row>
    <row r="76" ht="22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7" t="n"/>
      <c r="K76" s="37" t="n"/>
      <c r="L76" s="37" t="n"/>
      <c r="M76" s="38" t="n"/>
      <c r="N76" s="38" t="n"/>
      <c r="O76" s="38" t="n"/>
      <c r="P76" s="38" t="n"/>
      <c r="Q76" s="38" t="n"/>
      <c r="R76" s="38" t="n"/>
      <c r="S76" s="36" t="n"/>
      <c r="T76" s="36" t="n"/>
      <c r="U76" s="36" t="n"/>
      <c r="V76" s="36" t="n"/>
      <c r="W76" s="39" t="n"/>
      <c r="X76" s="38" t="n"/>
      <c r="Y76" s="41">
        <f>IF(OR(W76="",X76="",X76&lt;=0),"",W76/X76)</f>
        <v/>
      </c>
      <c r="Z76" s="36" t="n"/>
      <c r="AA76" s="38" t="n"/>
      <c r="AB76" s="36" t="n"/>
      <c r="AC76" s="36" t="n"/>
      <c r="AD76" s="36" t="n"/>
      <c r="AE76" s="36" t="n"/>
      <c r="AF76" s="36" t="n"/>
      <c r="AG76" s="36" t="n"/>
      <c r="AH76" s="36" t="n"/>
      <c r="AI76" s="35">
        <f>IF(NOT(COUNTA(A76:AH76)&gt;0),"",IF(TEXTJOIN(", ",TRUE,IF(B76="","Название",""),IF(C76="","Тип недвижимости",""),IF(D76="","Страна",""),IF(E76="","Город",""),IF(F76="","Улица",""),IF(I76="","Валюта",""),IF(OR(AA76="",AA76&lt;1),"Хотя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земли",""),IF(OR(AF76="",AF76="Нет"),"Право собственности",""),IF(OR(AG76="",AG76="Нет"),"Справка об отсутствии обременений",""),IF(OR(W76="",W76&lt;=0),"Общая стоимость",""),IF(OR(X76="",X76&lt;=0),"Количество долей",""),IF(AND(X76&lt;&gt;"",X76&lt;&gt;INT(X76)),"Количество долей должно быть целым",""))="","",TEXTJOIN(", ",TRUE,IF(B76="","Название",""),IF(C76="","Тип недвижимости",""),IF(D76="","Страна",""),IF(E76="","Город",""),IF(F76="","Улица",""),IF(I76="","Валюта",""),IF(OR(AA76="",AA76&lt;1),"Хотя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земли",""),IF(OR(AF76="",AF76="Нет"),"Право собственности",""),IF(OR(AG76="",AG76="Нет"),"Справка об отсутствии обременений",""),IF(OR(W76="",W76&lt;=0),"Общая стоимость",""),IF(OR(X76="",X76&lt;=0),"Количество долей",""),IF(AND(X76&lt;&gt;"",X76&lt;&gt;INT(X76)),"Количество долей должно быть целым",""))))</f>
        <v/>
      </c>
      <c r="AJ76" s="35">
        <f>IF(NOT(COUNTA(A76:AH76)&gt;0),"",IF(TEXTJOIN(", ",TRUE,IF(AD76="","Описание",""),IF(AND(AA76&lt;&gt;"",AA76&gt;=1,AA76&lt;5),"Фото меньше 5",""),IF(AC76="","Видео",""),IF(H76="","Кадастровый номер",""),IF(AB76="","Ссылка на фото",""))="","",TEXTJOIN(", ",TRUE,IF(AD76="","Описание",""),IF(AND(AA76&lt;&gt;"",AA76&gt;=1,AA76&lt;5),"Фото меньше 5",""),IF(AC76="","Видео",""),IF(H76="","Кадастровый номер",""),IF(AB76="","Ссылка на фото",""))))</f>
        <v/>
      </c>
      <c r="AK76" s="35">
        <f>IF(NOT(COUNTA(A76:AH76)&gt;0),"",IF(AI76="","Можно публиковать","Не хватает"))</f>
        <v/>
      </c>
    </row>
    <row r="77" ht="22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 t="n"/>
      <c r="K77" s="31" t="n"/>
      <c r="L77" s="31" t="n"/>
      <c r="M77" s="32" t="n"/>
      <c r="N77" s="32" t="n"/>
      <c r="O77" s="32" t="n"/>
      <c r="P77" s="32" t="n"/>
      <c r="Q77" s="32" t="n"/>
      <c r="R77" s="32" t="n"/>
      <c r="S77" s="30" t="n"/>
      <c r="T77" s="30" t="n"/>
      <c r="U77" s="30" t="n"/>
      <c r="V77" s="30" t="n"/>
      <c r="W77" s="33" t="n"/>
      <c r="X77" s="32" t="n"/>
      <c r="Y77" s="41">
        <f>IF(OR(W77="",X77="",X77&lt;=0),"",W77/X77)</f>
        <v/>
      </c>
      <c r="Z77" s="30" t="n"/>
      <c r="AA77" s="32" t="n"/>
      <c r="AB77" s="30" t="n"/>
      <c r="AC77" s="30" t="n"/>
      <c r="AD77" s="30" t="n"/>
      <c r="AE77" s="30" t="n"/>
      <c r="AF77" s="30" t="n"/>
      <c r="AG77" s="30" t="n"/>
      <c r="AH77" s="30" t="n"/>
      <c r="AI77" s="35">
        <f>IF(NOT(COUNTA(A77:AH77)&gt;0),"",IF(TEXTJOIN(", ",TRUE,IF(B77="","Название",""),IF(C77="","Тип недвижимости",""),IF(D77="","Страна",""),IF(E77="","Город",""),IF(F77="","Улица",""),IF(I77="","Валюта",""),IF(OR(AA77="",AA77&lt;1),"Хотя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земли",""),IF(OR(AF77="",AF77="Нет"),"Право собственности",""),IF(OR(AG77="",AG77="Нет"),"Справка об отсутствии обременений",""),IF(OR(W77="",W77&lt;=0),"Общая стоимость",""),IF(OR(X77="",X77&lt;=0),"Количество долей",""),IF(AND(X77&lt;&gt;"",X77&lt;&gt;INT(X77)),"Количество долей должно быть целым",""))="","",TEXTJOIN(", ",TRUE,IF(B77="","Название",""),IF(C77="","Тип недвижимости",""),IF(D77="","Страна",""),IF(E77="","Город",""),IF(F77="","Улица",""),IF(I77="","Валюта",""),IF(OR(AA77="",AA77&lt;1),"Хотя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земли",""),IF(OR(AF77="",AF77="Нет"),"Право собственности",""),IF(OR(AG77="",AG77="Нет"),"Справка об отсутствии обременений",""),IF(OR(W77="",W77&lt;=0),"Общая стоимость",""),IF(OR(X77="",X77&lt;=0),"Количество долей",""),IF(AND(X77&lt;&gt;"",X77&lt;&gt;INT(X77)),"Количество долей должно быть целым",""))))</f>
        <v/>
      </c>
      <c r="AJ77" s="35">
        <f>IF(NOT(COUNTA(A77:AH77)&gt;0),"",IF(TEXTJOIN(", ",TRUE,IF(AD77="","Описание",""),IF(AND(AA77&lt;&gt;"",AA77&gt;=1,AA77&lt;5),"Фото меньше 5",""),IF(AC77="","Видео",""),IF(H77="","Кадастровый номер",""),IF(AB77="","Ссылка на фото",""))="","",TEXTJOIN(", ",TRUE,IF(AD77="","Описание",""),IF(AND(AA77&lt;&gt;"",AA77&gt;=1,AA77&lt;5),"Фото меньше 5",""),IF(AC77="","Видео",""),IF(H77="","Кадастровый номер",""),IF(AB77="","Ссылка на фото",""))))</f>
        <v/>
      </c>
      <c r="AK77" s="35">
        <f>IF(NOT(COUNTA(A77:AH77)&gt;0),"",IF(AI77="","Можно публиковать","Не хватает"))</f>
        <v/>
      </c>
    </row>
    <row r="78" ht="22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7" t="n"/>
      <c r="K78" s="37" t="n"/>
      <c r="L78" s="37" t="n"/>
      <c r="M78" s="38" t="n"/>
      <c r="N78" s="38" t="n"/>
      <c r="O78" s="38" t="n"/>
      <c r="P78" s="38" t="n"/>
      <c r="Q78" s="38" t="n"/>
      <c r="R78" s="38" t="n"/>
      <c r="S78" s="36" t="n"/>
      <c r="T78" s="36" t="n"/>
      <c r="U78" s="36" t="n"/>
      <c r="V78" s="36" t="n"/>
      <c r="W78" s="39" t="n"/>
      <c r="X78" s="38" t="n"/>
      <c r="Y78" s="41">
        <f>IF(OR(W78="",X78="",X78&lt;=0),"",W78/X78)</f>
        <v/>
      </c>
      <c r="Z78" s="36" t="n"/>
      <c r="AA78" s="38" t="n"/>
      <c r="AB78" s="36" t="n"/>
      <c r="AC78" s="36" t="n"/>
      <c r="AD78" s="36" t="n"/>
      <c r="AE78" s="36" t="n"/>
      <c r="AF78" s="36" t="n"/>
      <c r="AG78" s="36" t="n"/>
      <c r="AH78" s="36" t="n"/>
      <c r="AI78" s="35">
        <f>IF(NOT(COUNTA(A78:AH78)&gt;0),"",IF(TEXTJOIN(", ",TRUE,IF(B78="","Название",""),IF(C78="","Тип недвижимости",""),IF(D78="","Страна",""),IF(E78="","Город",""),IF(F78="","Улица",""),IF(I78="","Валюта",""),IF(OR(AA78="",AA78&lt;1),"Хотя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земли",""),IF(OR(AF78="",AF78="Нет"),"Право собственности",""),IF(OR(AG78="",AG78="Нет"),"Справка об отсутствии обременений",""),IF(OR(W78="",W78&lt;=0),"Общая стоимость",""),IF(OR(X78="",X78&lt;=0),"Количество долей",""),IF(AND(X78&lt;&gt;"",X78&lt;&gt;INT(X78)),"Количество долей должно быть целым",""))="","",TEXTJOIN(", ",TRUE,IF(B78="","Название",""),IF(C78="","Тип недвижимости",""),IF(D78="","Страна",""),IF(E78="","Город",""),IF(F78="","Улица",""),IF(I78="","Валюта",""),IF(OR(AA78="",AA78&lt;1),"Хотя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земли",""),IF(OR(AF78="",AF78="Нет"),"Право собственности",""),IF(OR(AG78="",AG78="Нет"),"Справка об отсутствии обременений",""),IF(OR(W78="",W78&lt;=0),"Общая стоимость",""),IF(OR(X78="",X78&lt;=0),"Количество долей",""),IF(AND(X78&lt;&gt;"",X78&lt;&gt;INT(X78)),"Количество долей должно быть целым",""))))</f>
        <v/>
      </c>
      <c r="AJ78" s="35">
        <f>IF(NOT(COUNTA(A78:AH78)&gt;0),"",IF(TEXTJOIN(", ",TRUE,IF(AD78="","Описание",""),IF(AND(AA78&lt;&gt;"",AA78&gt;=1,AA78&lt;5),"Фото меньше 5",""),IF(AC78="","Видео",""),IF(H78="","Кадастровый номер",""),IF(AB78="","Ссылка на фото",""))="","",TEXTJOIN(", ",TRUE,IF(AD78="","Описание",""),IF(AND(AA78&lt;&gt;"",AA78&gt;=1,AA78&lt;5),"Фото меньше 5",""),IF(AC78="","Видео",""),IF(H78="","Кадастровый номер",""),IF(AB78="","Ссылка на фото",""))))</f>
        <v/>
      </c>
      <c r="AK78" s="35">
        <f>IF(NOT(COUNTA(A78:AH78)&gt;0),"",IF(AI78="","Можно публиковать","Не хватает"))</f>
        <v/>
      </c>
    </row>
    <row r="79" ht="22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31" t="n"/>
      <c r="L79" s="31" t="n"/>
      <c r="M79" s="32" t="n"/>
      <c r="N79" s="32" t="n"/>
      <c r="O79" s="32" t="n"/>
      <c r="P79" s="32" t="n"/>
      <c r="Q79" s="32" t="n"/>
      <c r="R79" s="32" t="n"/>
      <c r="S79" s="30" t="n"/>
      <c r="T79" s="30" t="n"/>
      <c r="U79" s="30" t="n"/>
      <c r="V79" s="30" t="n"/>
      <c r="W79" s="33" t="n"/>
      <c r="X79" s="32" t="n"/>
      <c r="Y79" s="41">
        <f>IF(OR(W79="",X79="",X79&lt;=0),"",W79/X79)</f>
        <v/>
      </c>
      <c r="Z79" s="30" t="n"/>
      <c r="AA79" s="32" t="n"/>
      <c r="AB79" s="30" t="n"/>
      <c r="AC79" s="30" t="n"/>
      <c r="AD79" s="30" t="n"/>
      <c r="AE79" s="30" t="n"/>
      <c r="AF79" s="30" t="n"/>
      <c r="AG79" s="30" t="n"/>
      <c r="AH79" s="30" t="n"/>
      <c r="AI79" s="35">
        <f>IF(NOT(COUNTA(A79:AH79)&gt;0),"",IF(TEXTJOIN(", ",TRUE,IF(B79="","Название",""),IF(C79="","Тип недвижимости",""),IF(D79="","Страна",""),IF(E79="","Город",""),IF(F79="","Улица",""),IF(I79="","Валюта",""),IF(OR(AA79="",AA79&lt;1),"Хотя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земли",""),IF(OR(AF79="",AF79="Нет"),"Право собственности",""),IF(OR(AG79="",AG79="Нет"),"Справка об отсутствии обременений",""),IF(OR(W79="",W79&lt;=0),"Общая стоимость",""),IF(OR(X79="",X79&lt;=0),"Количество долей",""),IF(AND(X79&lt;&gt;"",X79&lt;&gt;INT(X79)),"Количество долей должно быть целым",""))="","",TEXTJOIN(", ",TRUE,IF(B79="","Название",""),IF(C79="","Тип недвижимости",""),IF(D79="","Страна",""),IF(E79="","Город",""),IF(F79="","Улица",""),IF(I79="","Валюта",""),IF(OR(AA79="",AA79&lt;1),"Хотя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земли",""),IF(OR(AF79="",AF79="Нет"),"Право собственности",""),IF(OR(AG79="",AG79="Нет"),"Справка об отсутствии обременений",""),IF(OR(W79="",W79&lt;=0),"Общая стоимость",""),IF(OR(X79="",X79&lt;=0),"Количество долей",""),IF(AND(X79&lt;&gt;"",X79&lt;&gt;INT(X79)),"Количество долей должно быть целым",""))))</f>
        <v/>
      </c>
      <c r="AJ79" s="35">
        <f>IF(NOT(COUNTA(A79:AH79)&gt;0),"",IF(TEXTJOIN(", ",TRUE,IF(AD79="","Описание",""),IF(AND(AA79&lt;&gt;"",AA79&gt;=1,AA79&lt;5),"Фото меньше 5",""),IF(AC79="","Видео",""),IF(H79="","Кадастровый номер",""),IF(AB79="","Ссылка на фото",""))="","",TEXTJOIN(", ",TRUE,IF(AD79="","Описание",""),IF(AND(AA79&lt;&gt;"",AA79&gt;=1,AA79&lt;5),"Фото меньше 5",""),IF(AC79="","Видео",""),IF(H79="","Кадастровый номер",""),IF(AB79="","Ссылка на фото",""))))</f>
        <v/>
      </c>
      <c r="AK79" s="35">
        <f>IF(NOT(COUNTA(A79:AH79)&gt;0),"",IF(AI79="","Можно публиковать","Не хватает"))</f>
        <v/>
      </c>
    </row>
    <row r="80" ht="22" customHeight="1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7" t="n"/>
      <c r="K80" s="37" t="n"/>
      <c r="L80" s="37" t="n"/>
      <c r="M80" s="38" t="n"/>
      <c r="N80" s="38" t="n"/>
      <c r="O80" s="38" t="n"/>
      <c r="P80" s="38" t="n"/>
      <c r="Q80" s="38" t="n"/>
      <c r="R80" s="38" t="n"/>
      <c r="S80" s="36" t="n"/>
      <c r="T80" s="36" t="n"/>
      <c r="U80" s="36" t="n"/>
      <c r="V80" s="36" t="n"/>
      <c r="W80" s="39" t="n"/>
      <c r="X80" s="38" t="n"/>
      <c r="Y80" s="41">
        <f>IF(OR(W80="",X80="",X80&lt;=0),"",W80/X80)</f>
        <v/>
      </c>
      <c r="Z80" s="36" t="n"/>
      <c r="AA80" s="38" t="n"/>
      <c r="AB80" s="36" t="n"/>
      <c r="AC80" s="36" t="n"/>
      <c r="AD80" s="36" t="n"/>
      <c r="AE80" s="36" t="n"/>
      <c r="AF80" s="36" t="n"/>
      <c r="AG80" s="36" t="n"/>
      <c r="AH80" s="36" t="n"/>
      <c r="AI80" s="35">
        <f>IF(NOT(COUNTA(A80:AH80)&gt;0),"",IF(TEXTJOIN(", ",TRUE,IF(B80="","Название",""),IF(C80="","Тип недвижимости",""),IF(D80="","Страна",""),IF(E80="","Город",""),IF(F80="","Улица",""),IF(I80="","Валюта",""),IF(OR(AA80="",AA80&lt;1),"Хотя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земли",""),IF(OR(AF80="",AF80="Нет"),"Право собственности",""),IF(OR(AG80="",AG80="Нет"),"Справка об отсутствии обременений",""),IF(OR(W80="",W80&lt;=0),"Общая стоимость",""),IF(OR(X80="",X80&lt;=0),"Количество долей",""),IF(AND(X80&lt;&gt;"",X80&lt;&gt;INT(X80)),"Количество долей должно быть целым",""))="","",TEXTJOIN(", ",TRUE,IF(B80="","Название",""),IF(C80="","Тип недвижимости",""),IF(D80="","Страна",""),IF(E80="","Город",""),IF(F80="","Улица",""),IF(I80="","Валюта",""),IF(OR(AA80="",AA80&lt;1),"Хотя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земли",""),IF(OR(AF80="",AF80="Нет"),"Право собственности",""),IF(OR(AG80="",AG80="Нет"),"Справка об отсутствии обременений",""),IF(OR(W80="",W80&lt;=0),"Общая стоимость",""),IF(OR(X80="",X80&lt;=0),"Количество долей",""),IF(AND(X80&lt;&gt;"",X80&lt;&gt;INT(X80)),"Количество долей должно быть целым",""))))</f>
        <v/>
      </c>
      <c r="AJ80" s="35">
        <f>IF(NOT(COUNTA(A80:AH80)&gt;0),"",IF(TEXTJOIN(", ",TRUE,IF(AD80="","Описание",""),IF(AND(AA80&lt;&gt;"",AA80&gt;=1,AA80&lt;5),"Фото меньше 5",""),IF(AC80="","Видео",""),IF(H80="","Кадастровый номер",""),IF(AB80="","Ссылка на фото",""))="","",TEXTJOIN(", ",TRUE,IF(AD80="","Описание",""),IF(AND(AA80&lt;&gt;"",AA80&gt;=1,AA80&lt;5),"Фото меньше 5",""),IF(AC80="","Видео",""),IF(H80="","Кадастровый номер",""),IF(AB80="","Ссылка на фото",""))))</f>
        <v/>
      </c>
      <c r="AK80" s="35">
        <f>IF(NOT(COUNTA(A80:AH80)&gt;0),"",IF(AI80="","Можно публиковать","Не хватает"))</f>
        <v/>
      </c>
    </row>
    <row r="81" ht="22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 t="n"/>
      <c r="K81" s="31" t="n"/>
      <c r="L81" s="31" t="n"/>
      <c r="M81" s="32" t="n"/>
      <c r="N81" s="32" t="n"/>
      <c r="O81" s="32" t="n"/>
      <c r="P81" s="32" t="n"/>
      <c r="Q81" s="32" t="n"/>
      <c r="R81" s="32" t="n"/>
      <c r="S81" s="30" t="n"/>
      <c r="T81" s="30" t="n"/>
      <c r="U81" s="30" t="n"/>
      <c r="V81" s="30" t="n"/>
      <c r="W81" s="33" t="n"/>
      <c r="X81" s="32" t="n"/>
      <c r="Y81" s="41">
        <f>IF(OR(W81="",X81="",X81&lt;=0),"",W81/X81)</f>
        <v/>
      </c>
      <c r="Z81" s="30" t="n"/>
      <c r="AA81" s="32" t="n"/>
      <c r="AB81" s="30" t="n"/>
      <c r="AC81" s="30" t="n"/>
      <c r="AD81" s="30" t="n"/>
      <c r="AE81" s="30" t="n"/>
      <c r="AF81" s="30" t="n"/>
      <c r="AG81" s="30" t="n"/>
      <c r="AH81" s="30" t="n"/>
      <c r="AI81" s="35">
        <f>IF(NOT(COUNTA(A81:AH81)&gt;0),"",IF(TEXTJOIN(", ",TRUE,IF(B81="","Название",""),IF(C81="","Тип недвижимости",""),IF(D81="","Страна",""),IF(E81="","Город",""),IF(F81="","Улица",""),IF(I81="","Валюта",""),IF(OR(AA81="",AA81&lt;1),"Хотя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земли",""),IF(OR(AF81="",AF81="Нет"),"Право собственности",""),IF(OR(AG81="",AG81="Нет"),"Справка об отсутствии обременений",""),IF(OR(W81="",W81&lt;=0),"Общая стоимость",""),IF(OR(X81="",X81&lt;=0),"Количество долей",""),IF(AND(X81&lt;&gt;"",X81&lt;&gt;INT(X81)),"Количество долей должно быть целым",""))="","",TEXTJOIN(", ",TRUE,IF(B81="","Название",""),IF(C81="","Тип недвижимости",""),IF(D81="","Страна",""),IF(E81="","Город",""),IF(F81="","Улица",""),IF(I81="","Валюта",""),IF(OR(AA81="",AA81&lt;1),"Хотя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земли",""),IF(OR(AF81="",AF81="Нет"),"Право собственности",""),IF(OR(AG81="",AG81="Нет"),"Справка об отсутствии обременений",""),IF(OR(W81="",W81&lt;=0),"Общая стоимость",""),IF(OR(X81="",X81&lt;=0),"Количество долей",""),IF(AND(X81&lt;&gt;"",X81&lt;&gt;INT(X81)),"Количество долей должно быть целым",""))))</f>
        <v/>
      </c>
      <c r="AJ81" s="35">
        <f>IF(NOT(COUNTA(A81:AH81)&gt;0),"",IF(TEXTJOIN(", ",TRUE,IF(AD81="","Описание",""),IF(AND(AA81&lt;&gt;"",AA81&gt;=1,AA81&lt;5),"Фото меньше 5",""),IF(AC81="","Видео",""),IF(H81="","Кадастровый номер",""),IF(AB81="","Ссылка на фото",""))="","",TEXTJOIN(", ",TRUE,IF(AD81="","Описание",""),IF(AND(AA81&lt;&gt;"",AA81&gt;=1,AA81&lt;5),"Фото меньше 5",""),IF(AC81="","Видео",""),IF(H81="","Кадастровый номер",""),IF(AB81="","Ссылка на фото",""))))</f>
        <v/>
      </c>
      <c r="AK81" s="35">
        <f>IF(NOT(COUNTA(A81:AH81)&gt;0),"",IF(AI81="","Можно публиковать","Не хватает"))</f>
        <v/>
      </c>
    </row>
    <row r="82" ht="22" customHeight="1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7" t="n"/>
      <c r="K82" s="37" t="n"/>
      <c r="L82" s="37" t="n"/>
      <c r="M82" s="38" t="n"/>
      <c r="N82" s="38" t="n"/>
      <c r="O82" s="38" t="n"/>
      <c r="P82" s="38" t="n"/>
      <c r="Q82" s="38" t="n"/>
      <c r="R82" s="38" t="n"/>
      <c r="S82" s="36" t="n"/>
      <c r="T82" s="36" t="n"/>
      <c r="U82" s="36" t="n"/>
      <c r="V82" s="36" t="n"/>
      <c r="W82" s="39" t="n"/>
      <c r="X82" s="38" t="n"/>
      <c r="Y82" s="41">
        <f>IF(OR(W82="",X82="",X82&lt;=0),"",W82/X82)</f>
        <v/>
      </c>
      <c r="Z82" s="36" t="n"/>
      <c r="AA82" s="38" t="n"/>
      <c r="AB82" s="36" t="n"/>
      <c r="AC82" s="36" t="n"/>
      <c r="AD82" s="36" t="n"/>
      <c r="AE82" s="36" t="n"/>
      <c r="AF82" s="36" t="n"/>
      <c r="AG82" s="36" t="n"/>
      <c r="AH82" s="36" t="n"/>
      <c r="AI82" s="35">
        <f>IF(NOT(COUNTA(A82:AH82)&gt;0),"",IF(TEXTJOIN(", ",TRUE,IF(B82="","Название",""),IF(C82="","Тип недвижимости",""),IF(D82="","Страна",""),IF(E82="","Город",""),IF(F82="","Улица",""),IF(I82="","Валюта",""),IF(OR(AA82="",AA82&lt;1),"Хотя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земли",""),IF(OR(AF82="",AF82="Нет"),"Право собственности",""),IF(OR(AG82="",AG82="Нет"),"Справка об отсутствии обременений",""),IF(OR(W82="",W82&lt;=0),"Общая стоимость",""),IF(OR(X82="",X82&lt;=0),"Количество долей",""),IF(AND(X82&lt;&gt;"",X82&lt;&gt;INT(X82)),"Количество долей должно быть целым",""))="","",TEXTJOIN(", ",TRUE,IF(B82="","Название",""),IF(C82="","Тип недвижимости",""),IF(D82="","Страна",""),IF(E82="","Город",""),IF(F82="","Улица",""),IF(I82="","Валюта",""),IF(OR(AA82="",AA82&lt;1),"Хотя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земли",""),IF(OR(AF82="",AF82="Нет"),"Право собственности",""),IF(OR(AG82="",AG82="Нет"),"Справка об отсутствии обременений",""),IF(OR(W82="",W82&lt;=0),"Общая стоимость",""),IF(OR(X82="",X82&lt;=0),"Количество долей",""),IF(AND(X82&lt;&gt;"",X82&lt;&gt;INT(X82)),"Количество долей должно быть целым",""))))</f>
        <v/>
      </c>
      <c r="AJ82" s="35">
        <f>IF(NOT(COUNTA(A82:AH82)&gt;0),"",IF(TEXTJOIN(", ",TRUE,IF(AD82="","Описание",""),IF(AND(AA82&lt;&gt;"",AA82&gt;=1,AA82&lt;5),"Фото меньше 5",""),IF(AC82="","Видео",""),IF(H82="","Кадастровый номер",""),IF(AB82="","Ссылка на фото",""))="","",TEXTJOIN(", ",TRUE,IF(AD82="","Описание",""),IF(AND(AA82&lt;&gt;"",AA82&gt;=1,AA82&lt;5),"Фото меньше 5",""),IF(AC82="","Видео",""),IF(H82="","Кадастровый номер",""),IF(AB82="","Ссылка на фото",""))))</f>
        <v/>
      </c>
      <c r="AK82" s="35">
        <f>IF(NOT(COUNTA(A82:AH82)&gt;0),"",IF(AI82="","Можно публиковать","Не хватает"))</f>
        <v/>
      </c>
    </row>
  </sheetData>
  <autoFilter ref="A2:AK82"/>
  <mergeCells count="7">
    <mergeCell ref="J1:V1"/>
    <mergeCell ref="AF1:AH1"/>
    <mergeCell ref="AI1:AK1"/>
    <mergeCell ref="D1:H1"/>
    <mergeCell ref="AA1:AE1"/>
    <mergeCell ref="B1:C1"/>
    <mergeCell ref="W1:Z1"/>
  </mergeCells>
  <conditionalFormatting sqref="AK3:AK82">
    <cfRule type="expression" priority="1" dxfId="0">
      <formula>AK3="Можно публиковать"</formula>
    </cfRule>
    <cfRule type="expression" priority="2" dxfId="1">
      <formula>AK3="Не хватает"</formula>
    </cfRule>
  </conditionalFormatting>
  <conditionalFormatting sqref="AI3:AI82">
    <cfRule type="expression" priority="3" dxfId="2">
      <formula>AI3&lt;&gt;""</formula>
    </cfRule>
  </conditionalFormatting>
  <dataValidations count="9">
    <dataValidation sqref="C3:C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=Types</formula1>
    </dataValidation>
    <dataValidation sqref="I3:I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=Currencies</formula1>
    </dataValidation>
    <dataValidation sqref="S3:S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=Materials</formula1>
    </dataValidation>
    <dataValidation sqref="T3:T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=Construction</formula1>
    </dataValidation>
    <dataValidation sqref="U3:U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=Commercial</formula1>
    </dataValidation>
    <dataValidation sqref="V3:V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=Purpose</formula1>
    </dataValidation>
    <dataValidation sqref="Z3:Z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F3:AF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G3:AG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</dataValidations>
  <pageMargins left="0.75" right="0.75" top="1" bottom="1" header="0.5" footer="0.5"/>
  <pageSetup orientation="landscape" paperSize="8" fitToHeight="0" fitToWidth="1"/>
  <headerFooter>
    <oddHeader>&amp;LДоли</oddHeader>
    <oddFooter>&amp;RПустая ячейка в «Не хватает для публикации» значит, что объект можно публиковать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A6B2F"/>
    <outlinePr summaryBelow="1" summaryRight="1"/>
    <pageSetUpPr fitToPage="1"/>
  </sheetPr>
  <dimension ref="A1:AQ82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6" customWidth="1" min="4" max="4"/>
    <col width="16" customWidth="1" min="5" max="5"/>
    <col width="26" customWidth="1" min="6" max="6"/>
    <col width="14" customWidth="1" min="7" max="7"/>
    <col width="22" customWidth="1" min="8" max="8"/>
    <col width="12" customWidth="1" min="9" max="9"/>
    <col width="14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0" customWidth="1" min="18" max="18"/>
    <col width="16" customWidth="1" min="19" max="19"/>
    <col width="16" customWidth="1" min="20" max="20"/>
    <col width="18" customWidth="1" min="21" max="21"/>
    <col width="22" customWidth="1" min="22" max="22"/>
    <col width="20" customWidth="1" min="23" max="23"/>
    <col width="16" customWidth="1" min="24" max="24"/>
    <col width="16" customWidth="1" min="25" max="25"/>
    <col width="18" customWidth="1" min="26" max="26"/>
    <col width="16" customWidth="1" min="27" max="27"/>
    <col width="16" customWidth="1" min="28" max="28"/>
    <col width="18" customWidth="1" min="29" max="29"/>
    <col width="18" customWidth="1" min="30" max="30"/>
    <col width="16" customWidth="1" min="31" max="31"/>
    <col width="16" customWidth="1" min="32" max="32"/>
    <col width="14" customWidth="1" min="33" max="33"/>
    <col width="22" customWidth="1" min="34" max="34"/>
    <col width="12" customWidth="1" min="35" max="35"/>
    <col width="28" customWidth="1" min="36" max="36"/>
    <col width="24" customWidth="1" min="37" max="37"/>
    <col width="36" customWidth="1" min="38" max="38"/>
    <col width="28" customWidth="1" min="39" max="39"/>
    <col width="24" customWidth="1" min="40" max="40"/>
    <col width="42" customWidth="1" min="41" max="41"/>
    <col width="36" customWidth="1" min="42" max="42"/>
    <col width="20" customWidth="1" min="43" max="43"/>
  </cols>
  <sheetData>
    <row r="1" ht="22" customHeight="1">
      <c r="A1" s="12" t="inlineStr">
        <is>
          <t>Сбор</t>
        </is>
      </c>
      <c r="B1" s="13" t="inlineStr">
        <is>
          <t>Объект</t>
        </is>
      </c>
      <c r="D1" s="14" t="inlineStr">
        <is>
          <t>Адрес</t>
        </is>
      </c>
      <c r="I1" s="13" t="inlineStr">
        <is>
          <t>Объект</t>
        </is>
      </c>
      <c r="J1" s="15" t="inlineStr">
        <is>
          <t>Параметры</t>
        </is>
      </c>
      <c r="W1" s="18" t="inlineStr">
        <is>
          <t>Долг</t>
        </is>
      </c>
      <c r="Y1" s="16" t="inlineStr">
        <is>
          <t>Аукцион долга</t>
        </is>
      </c>
      <c r="AD1" s="18" t="inlineStr">
        <is>
          <t>Пакет долга</t>
        </is>
      </c>
      <c r="AI1" s="17" t="inlineStr">
        <is>
          <t>Подача</t>
        </is>
      </c>
      <c r="AN1" s="18" t="inlineStr">
        <is>
          <t>Пакет долга</t>
        </is>
      </c>
      <c r="AO1" s="19" t="inlineStr">
        <is>
          <t>Проверка</t>
        </is>
      </c>
    </row>
    <row r="2" ht="36" customHeight="1">
      <c r="A2" s="20" t="inlineStr">
        <is>
          <t>Источник</t>
        </is>
      </c>
      <c r="B2" s="21" t="inlineStr">
        <is>
          <t>Название</t>
        </is>
      </c>
      <c r="C2" s="21" t="inlineStr">
        <is>
          <t>Тип недвижимости</t>
        </is>
      </c>
      <c r="D2" s="22" t="inlineStr">
        <is>
          <t>Страна</t>
        </is>
      </c>
      <c r="E2" s="22" t="inlineStr">
        <is>
          <t>Город</t>
        </is>
      </c>
      <c r="F2" s="22" t="inlineStr">
        <is>
          <t>Улица</t>
        </is>
      </c>
      <c r="G2" s="22" t="inlineStr">
        <is>
          <t>Номер дома</t>
        </is>
      </c>
      <c r="H2" s="22" t="inlineStr">
        <is>
          <t>Кадастровый номер</t>
        </is>
      </c>
      <c r="I2" s="21" t="inlineStr">
        <is>
          <t>Валюта</t>
        </is>
      </c>
      <c r="J2" s="23" t="inlineStr">
        <is>
          <t>Площадь, м²</t>
        </is>
      </c>
      <c r="K2" s="23" t="inlineStr">
        <is>
          <t>Жилая, м²</t>
        </is>
      </c>
      <c r="L2" s="23" t="inlineStr">
        <is>
          <t>Участок, м²</t>
        </is>
      </c>
      <c r="M2" s="23" t="inlineStr">
        <is>
          <t>Комнаты</t>
        </is>
      </c>
      <c r="N2" s="23" t="inlineStr">
        <is>
          <t>Спальни</t>
        </is>
      </c>
      <c r="O2" s="23" t="inlineStr">
        <is>
          <t>Ванные</t>
        </is>
      </c>
      <c r="P2" s="23" t="inlineStr">
        <is>
          <t>Этаж</t>
        </is>
      </c>
      <c r="Q2" s="23" t="inlineStr">
        <is>
          <t>Этажей</t>
        </is>
      </c>
      <c r="R2" s="23" t="inlineStr">
        <is>
          <t>Год</t>
        </is>
      </c>
      <c r="S2" s="23" t="inlineStr">
        <is>
          <t>Материал</t>
        </is>
      </c>
      <c r="T2" s="23" t="inlineStr">
        <is>
          <t>Конструкция</t>
        </is>
      </c>
      <c r="U2" s="23" t="inlineStr">
        <is>
          <t>Тип коммерции</t>
        </is>
      </c>
      <c r="V2" s="23" t="inlineStr">
        <is>
          <t>Назначение земли</t>
        </is>
      </c>
      <c r="W2" s="26" t="inlineStr">
        <is>
          <t>Формат долга</t>
        </is>
      </c>
      <c r="X2" s="26" t="inlineStr">
        <is>
          <t>Сумма долга</t>
        </is>
      </c>
      <c r="Y2" s="24" t="inlineStr">
        <is>
          <t>Продать сейчас</t>
        </is>
      </c>
      <c r="Z2" s="24" t="inlineStr">
        <is>
          <t>Минимальная цена</t>
        </is>
      </c>
      <c r="AA2" s="24" t="inlineStr">
        <is>
          <t>Стартовая ставка</t>
        </is>
      </c>
      <c r="AB2" s="24" t="inlineStr">
        <is>
          <t>Начало аукциона</t>
        </is>
      </c>
      <c r="AC2" s="24" t="inlineStr">
        <is>
          <t>Окончание аукциона</t>
        </is>
      </c>
      <c r="AD2" s="26" t="inlineStr">
        <is>
          <t>Кредитный договор</t>
        </is>
      </c>
      <c r="AE2" s="26" t="inlineStr">
        <is>
          <t>Закладная</t>
        </is>
      </c>
      <c r="AF2" s="26" t="inlineStr">
        <is>
          <t>Выписка реестра</t>
        </is>
      </c>
      <c r="AG2" s="26" t="inlineStr">
        <is>
          <t>Оценка</t>
        </is>
      </c>
      <c r="AH2" s="26" t="inlineStr">
        <is>
          <t>Статус в суде</t>
        </is>
      </c>
      <c r="AI2" s="25" t="inlineStr">
        <is>
          <t>Фото, шт.</t>
        </is>
      </c>
      <c r="AJ2" s="25" t="inlineStr">
        <is>
          <t>Ссылка на фото</t>
        </is>
      </c>
      <c r="AK2" s="25" t="inlineStr">
        <is>
          <t>Ссылка на видео</t>
        </is>
      </c>
      <c r="AL2" s="25" t="inlineStr">
        <is>
          <t>Описание</t>
        </is>
      </c>
      <c r="AM2" s="25" t="inlineStr">
        <is>
          <t>Удобства</t>
        </is>
      </c>
      <c r="AN2" s="26" t="inlineStr">
        <is>
          <t>Ссылки на документы</t>
        </is>
      </c>
      <c r="AO2" s="27" t="inlineStr">
        <is>
          <t>Не хватает для публикации</t>
        </is>
      </c>
      <c r="AP2" s="28" t="inlineStr">
        <is>
          <t>Желательно добрать</t>
        </is>
      </c>
      <c r="AQ2" s="29" t="inlineStr">
        <is>
          <t>Готовность</t>
        </is>
      </c>
    </row>
    <row r="3" ht="22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1" t="n"/>
      <c r="K3" s="31" t="n"/>
      <c r="L3" s="31" t="n"/>
      <c r="M3" s="32" t="n"/>
      <c r="N3" s="32" t="n"/>
      <c r="O3" s="32" t="n"/>
      <c r="P3" s="32" t="n"/>
      <c r="Q3" s="32" t="n"/>
      <c r="R3" s="32" t="n"/>
      <c r="S3" s="30" t="n"/>
      <c r="T3" s="30" t="n"/>
      <c r="U3" s="30" t="n"/>
      <c r="V3" s="30" t="n"/>
      <c r="W3" s="30" t="n"/>
      <c r="X3" s="33" t="n"/>
      <c r="Y3" s="33" t="n"/>
      <c r="Z3" s="33" t="n"/>
      <c r="AA3" s="33" t="n"/>
      <c r="AB3" s="34" t="n"/>
      <c r="AC3" s="34" t="n"/>
      <c r="AD3" s="30" t="n"/>
      <c r="AE3" s="30" t="n"/>
      <c r="AF3" s="30" t="n"/>
      <c r="AG3" s="30" t="n"/>
      <c r="AH3" s="30" t="n"/>
      <c r="AI3" s="32" t="n"/>
      <c r="AJ3" s="30" t="n"/>
      <c r="AK3" s="30" t="n"/>
      <c r="AL3" s="30" t="n"/>
      <c r="AM3" s="30" t="n"/>
      <c r="AN3" s="30" t="n"/>
      <c r="AO3" s="35">
        <f>IF(NOT(COUNTA(A3:AN3)&gt;0),"",IF(TEXTJOIN(", ",TRUE,IF(B3="","Название",""),IF(C3="","Тип недвижимости",""),IF(D3="","Страна",""),IF(E3="","Город",""),IF(F3="","Улица",""),IF(I3="","Валюта",""),IF(OR(AI3="",AI3&lt;1),"Хотя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земли",""),IF(W3="","Формат долга",""),IF(OR(X3="",X3&lt;=0),"Сумма долга",""),IF(AND(W3="Долги + Аукцион",OR(Y3="",Y3&lt;=0)),"Продать сейчас",""),IF(AND(W3="Долги + Аукцион",OR(Z3="",Z3&lt;=0)),"Минимальная цена продажи",""),IF(AND(W3="Долги + Аукцион",OR(AA3="",AA3&lt;=0)),"Стартовая ставка",""),IF(AND(W3="Долги + Аукцион",AB3=""),"Начало аукциона",""),IF(AND(W3="Долги + Аукцион",AC3=""),"Окончание аукциона",""),IF(AND(W3="Долги + Аукцион",AND(Y3&lt;&gt;"",Z3&lt;&gt;"",Z3&gt;Y3)),"Минимальная цена выше «Продать сейчас»",""),IF(AND(W3="Долги + Аукцион",AND(Y3&lt;&gt;"",Z3&lt;&gt;"",Z3&lt;=Y3,Z3&gt;Y3*0.9)),"Минимальная цена выше 90% от «Продать сейчас»",""),IF(AND(W3="Долги + Аукцион",AND(Y3&lt;&gt;"",AA3&lt;&gt;"",AA3&gt;Y3*0.3)),"Стартовая ставка выше 30% от «Продать сейчас»",""),IF(AND(W3="Долги + Аукцион",AND(AB3&lt;&gt;"",AC3&lt;&gt;"",AC3&lt;EDATE(AB3,3)+15)),"Аукцион короче 3 месяцев и 15 дней",""))="","",TEXTJOIN(", ",TRUE,IF(B3="","Название",""),IF(C3="","Тип недвижимости",""),IF(D3="","Страна",""),IF(E3="","Город",""),IF(F3="","Улица",""),IF(I3="","Валюта",""),IF(OR(AI3="",AI3&lt;1),"Хотя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земли",""),IF(W3="","Формат долга",""),IF(OR(X3="",X3&lt;=0),"Сумма долга",""),IF(AND(W3="Долги + Аукцион",OR(Y3="",Y3&lt;=0)),"Продать сейчас",""),IF(AND(W3="Долги + Аукцион",OR(Z3="",Z3&lt;=0)),"Минимальная цена продажи",""),IF(AND(W3="Долги + Аукцион",OR(AA3="",AA3&lt;=0)),"Стартовая ставка",""),IF(AND(W3="Долги + Аукцион",AB3=""),"Начало аукциона",""),IF(AND(W3="Долги + Аукцион",AC3=""),"Окончание аукциона",""),IF(AND(W3="Долги + Аукцион",AND(Y3&lt;&gt;"",Z3&lt;&gt;"",Z3&gt;Y3)),"Минимальная цена выше «Продать сейчас»",""),IF(AND(W3="Долги + Аукцион",AND(Y3&lt;&gt;"",Z3&lt;&gt;"",Z3&lt;=Y3,Z3&gt;Y3*0.9)),"Минимальная цена выше 90% от «Продать сейчас»",""),IF(AND(W3="Долги + Аукцион",AND(Y3&lt;&gt;"",AA3&lt;&gt;"",AA3&gt;Y3*0.3)),"Стартовая ставка выше 30% от «Продать сейчас»",""),IF(AND(W3="Долги + Аукцион",AND(AB3&lt;&gt;"",AC3&lt;&gt;"",AC3&lt;EDATE(AB3,3)+15)),"Аукцион короче 3 месяцев и 15 дней",""))))</f>
        <v/>
      </c>
      <c r="AP3" s="35">
        <f>IF(NOT(COUNTA(A3:AN3)&gt;0),"",IF(TEXTJOIN(", ",TRUE,IF(AL3="","Описание",""),IF(AND(AI3&lt;&gt;"",AI3&gt;=1,AI3&lt;5),"Фото меньше 5",""),IF(AK3="","Видео",""),IF(H3="","Кадастровый номер",""),IF(AJ3="","Ссылка на фото",""),IF(OR(AD3="",AD3="Нет"),"Кредитный договор",""),IF(OR(AE3="",AE3="Нет"),"Нотариальная закладная",""),IF(OR(AF3="",AF3="Нет"),"Выписка из реестра",""),IF(OR(AG3="",AG3="Нет"),"Оценка объекта",""),IF(AH3="","Статус в суде",""))="","",TEXTJOIN(", ",TRUE,IF(AL3="","Описание",""),IF(AND(AI3&lt;&gt;"",AI3&gt;=1,AI3&lt;5),"Фото меньше 5",""),IF(AK3="","Видео",""),IF(H3="","Кадастровый номер",""),IF(AJ3="","Ссылка на фото",""),IF(OR(AD3="",AD3="Нет"),"Кредитный договор",""),IF(OR(AE3="",AE3="Нет"),"Нотариальная закладная",""),IF(OR(AF3="",AF3="Нет"),"Выписка из реестра",""),IF(OR(AG3="",AG3="Нет"),"Оценка объекта",""),IF(AH3="","Статус в суде",""))))</f>
        <v/>
      </c>
      <c r="AQ3" s="35">
        <f>IF(NOT(COUNTA(A3:AN3)&gt;0),"",IF(AO3="","Можно публиковать","Не хватает"))</f>
        <v/>
      </c>
    </row>
    <row r="4" ht="22" customHeight="1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7" t="n"/>
      <c r="K4" s="37" t="n"/>
      <c r="L4" s="37" t="n"/>
      <c r="M4" s="38" t="n"/>
      <c r="N4" s="38" t="n"/>
      <c r="O4" s="38" t="n"/>
      <c r="P4" s="38" t="n"/>
      <c r="Q4" s="38" t="n"/>
      <c r="R4" s="38" t="n"/>
      <c r="S4" s="36" t="n"/>
      <c r="T4" s="36" t="n"/>
      <c r="U4" s="36" t="n"/>
      <c r="V4" s="36" t="n"/>
      <c r="W4" s="36" t="n"/>
      <c r="X4" s="39" t="n"/>
      <c r="Y4" s="39" t="n"/>
      <c r="Z4" s="39" t="n"/>
      <c r="AA4" s="39" t="n"/>
      <c r="AB4" s="40" t="n"/>
      <c r="AC4" s="40" t="n"/>
      <c r="AD4" s="36" t="n"/>
      <c r="AE4" s="36" t="n"/>
      <c r="AF4" s="36" t="n"/>
      <c r="AG4" s="36" t="n"/>
      <c r="AH4" s="36" t="n"/>
      <c r="AI4" s="38" t="n"/>
      <c r="AJ4" s="36" t="n"/>
      <c r="AK4" s="36" t="n"/>
      <c r="AL4" s="36" t="n"/>
      <c r="AM4" s="36" t="n"/>
      <c r="AN4" s="36" t="n"/>
      <c r="AO4" s="35">
        <f>IF(NOT(COUNTA(A4:AN4)&gt;0),"",IF(TEXTJOIN(", ",TRUE,IF(B4="","Название",""),IF(C4="","Тип недвижимости",""),IF(D4="","Страна",""),IF(E4="","Город",""),IF(F4="","Улица",""),IF(I4="","Валюта",""),IF(OR(AI4="",AI4&lt;1),"Хотя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земли",""),IF(W4="","Формат долга",""),IF(OR(X4="",X4&lt;=0),"Сумма долга",""),IF(AND(W4="Долги + Аукцион",OR(Y4="",Y4&lt;=0)),"Продать сейчас",""),IF(AND(W4="Долги + Аукцион",OR(Z4="",Z4&lt;=0)),"Минимальная цена продажи",""),IF(AND(W4="Долги + Аукцион",OR(AA4="",AA4&lt;=0)),"Стартовая ставка",""),IF(AND(W4="Долги + Аукцион",AB4=""),"Начало аукциона",""),IF(AND(W4="Долги + Аукцион",AC4=""),"Окончание аукциона",""),IF(AND(W4="Долги + Аукцион",AND(Y4&lt;&gt;"",Z4&lt;&gt;"",Z4&gt;Y4)),"Минимальная цена выше «Продать сейчас»",""),IF(AND(W4="Долги + Аукцион",AND(Y4&lt;&gt;"",Z4&lt;&gt;"",Z4&lt;=Y4,Z4&gt;Y4*0.9)),"Минимальная цена выше 90% от «Продать сейчас»",""),IF(AND(W4="Долги + Аукцион",AND(Y4&lt;&gt;"",AA4&lt;&gt;"",AA4&gt;Y4*0.3)),"Стартовая ставка выше 30% от «Продать сейчас»",""),IF(AND(W4="Долги + Аукцион",AND(AB4&lt;&gt;"",AC4&lt;&gt;"",AC4&lt;EDATE(AB4,3)+15)),"Аукцион короче 3 месяцев и 15 дней",""))="","",TEXTJOIN(", ",TRUE,IF(B4="","Название",""),IF(C4="","Тип недвижимости",""),IF(D4="","Страна",""),IF(E4="","Город",""),IF(F4="","Улица",""),IF(I4="","Валюта",""),IF(OR(AI4="",AI4&lt;1),"Хотя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земли",""),IF(W4="","Формат долга",""),IF(OR(X4="",X4&lt;=0),"Сумма долга",""),IF(AND(W4="Долги + Аукцион",OR(Y4="",Y4&lt;=0)),"Продать сейчас",""),IF(AND(W4="Долги + Аукцион",OR(Z4="",Z4&lt;=0)),"Минимальная цена продажи",""),IF(AND(W4="Долги + Аукцион",OR(AA4="",AA4&lt;=0)),"Стартовая ставка",""),IF(AND(W4="Долги + Аукцион",AB4=""),"Начало аукциона",""),IF(AND(W4="Долги + Аукцион",AC4=""),"Окончание аукциона",""),IF(AND(W4="Долги + Аукцион",AND(Y4&lt;&gt;"",Z4&lt;&gt;"",Z4&gt;Y4)),"Минимальная цена выше «Продать сейчас»",""),IF(AND(W4="Долги + Аукцион",AND(Y4&lt;&gt;"",Z4&lt;&gt;"",Z4&lt;=Y4,Z4&gt;Y4*0.9)),"Минимальная цена выше 90% от «Продать сейчас»",""),IF(AND(W4="Долги + Аукцион",AND(Y4&lt;&gt;"",AA4&lt;&gt;"",AA4&gt;Y4*0.3)),"Стартовая ставка выше 30% от «Продать сейчас»",""),IF(AND(W4="Долги + Аукцион",AND(AB4&lt;&gt;"",AC4&lt;&gt;"",AC4&lt;EDATE(AB4,3)+15)),"Аукцион короче 3 месяцев и 15 дней",""))))</f>
        <v/>
      </c>
      <c r="AP4" s="35">
        <f>IF(NOT(COUNTA(A4:AN4)&gt;0),"",IF(TEXTJOIN(", ",TRUE,IF(AL4="","Описание",""),IF(AND(AI4&lt;&gt;"",AI4&gt;=1,AI4&lt;5),"Фото меньше 5",""),IF(AK4="","Видео",""),IF(H4="","Кадастровый номер",""),IF(AJ4="","Ссылка на фото",""),IF(OR(AD4="",AD4="Нет"),"Кредитный договор",""),IF(OR(AE4="",AE4="Нет"),"Нотариальная закладная",""),IF(OR(AF4="",AF4="Нет"),"Выписка из реестра",""),IF(OR(AG4="",AG4="Нет"),"Оценка объекта",""),IF(AH4="","Статус в суде",""))="","",TEXTJOIN(", ",TRUE,IF(AL4="","Описание",""),IF(AND(AI4&lt;&gt;"",AI4&gt;=1,AI4&lt;5),"Фото меньше 5",""),IF(AK4="","Видео",""),IF(H4="","Кадастровый номер",""),IF(AJ4="","Ссылка на фото",""),IF(OR(AD4="",AD4="Нет"),"Кредитный договор",""),IF(OR(AE4="",AE4="Нет"),"Нотариальная закладная",""),IF(OR(AF4="",AF4="Нет"),"Выписка из реестра",""),IF(OR(AG4="",AG4="Нет"),"Оценка объекта",""),IF(AH4="","Статус в суде",""))))</f>
        <v/>
      </c>
      <c r="AQ4" s="35">
        <f>IF(NOT(COUNTA(A4:AN4)&gt;0),"",IF(AO4="","Можно публиковать","Не хватает"))</f>
        <v/>
      </c>
    </row>
    <row r="5" ht="22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31" t="n"/>
      <c r="L5" s="31" t="n"/>
      <c r="M5" s="32" t="n"/>
      <c r="N5" s="32" t="n"/>
      <c r="O5" s="32" t="n"/>
      <c r="P5" s="32" t="n"/>
      <c r="Q5" s="32" t="n"/>
      <c r="R5" s="32" t="n"/>
      <c r="S5" s="30" t="n"/>
      <c r="T5" s="30" t="n"/>
      <c r="U5" s="30" t="n"/>
      <c r="V5" s="30" t="n"/>
      <c r="W5" s="30" t="n"/>
      <c r="X5" s="33" t="n"/>
      <c r="Y5" s="33" t="n"/>
      <c r="Z5" s="33" t="n"/>
      <c r="AA5" s="33" t="n"/>
      <c r="AB5" s="34" t="n"/>
      <c r="AC5" s="34" t="n"/>
      <c r="AD5" s="30" t="n"/>
      <c r="AE5" s="30" t="n"/>
      <c r="AF5" s="30" t="n"/>
      <c r="AG5" s="30" t="n"/>
      <c r="AH5" s="30" t="n"/>
      <c r="AI5" s="32" t="n"/>
      <c r="AJ5" s="30" t="n"/>
      <c r="AK5" s="30" t="n"/>
      <c r="AL5" s="30" t="n"/>
      <c r="AM5" s="30" t="n"/>
      <c r="AN5" s="30" t="n"/>
      <c r="AO5" s="35">
        <f>IF(NOT(COUNTA(A5:AN5)&gt;0),"",IF(TEXTJOIN(", ",TRUE,IF(B5="","Название",""),IF(C5="","Тип недвижимости",""),IF(D5="","Страна",""),IF(E5="","Город",""),IF(F5="","Улица",""),IF(I5="","Валюта",""),IF(OR(AI5="",AI5&lt;1),"Хотя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земли",""),IF(W5="","Формат долга",""),IF(OR(X5="",X5&lt;=0),"Сумма долга",""),IF(AND(W5="Долги + Аукцион",OR(Y5="",Y5&lt;=0)),"Продать сейчас",""),IF(AND(W5="Долги + Аукцион",OR(Z5="",Z5&lt;=0)),"Минимальная цена продажи",""),IF(AND(W5="Долги + Аукцион",OR(AA5="",AA5&lt;=0)),"Стартовая ставка",""),IF(AND(W5="Долги + Аукцион",AB5=""),"Начало аукциона",""),IF(AND(W5="Долги + Аукцион",AC5=""),"Окончание аукциона",""),IF(AND(W5="Долги + Аукцион",AND(Y5&lt;&gt;"",Z5&lt;&gt;"",Z5&gt;Y5)),"Минимальная цена выше «Продать сейчас»",""),IF(AND(W5="Долги + Аукцион",AND(Y5&lt;&gt;"",Z5&lt;&gt;"",Z5&lt;=Y5,Z5&gt;Y5*0.9)),"Минимальная цена выше 90% от «Продать сейчас»",""),IF(AND(W5="Долги + Аукцион",AND(Y5&lt;&gt;"",AA5&lt;&gt;"",AA5&gt;Y5*0.3)),"Стартовая ставка выше 30% от «Продать сейчас»",""),IF(AND(W5="Долги + Аукцион",AND(AB5&lt;&gt;"",AC5&lt;&gt;"",AC5&lt;EDATE(AB5,3)+15)),"Аукцион короче 3 месяцев и 15 дней",""))="","",TEXTJOIN(", ",TRUE,IF(B5="","Название",""),IF(C5="","Тип недвижимости",""),IF(D5="","Страна",""),IF(E5="","Город",""),IF(F5="","Улица",""),IF(I5="","Валюта",""),IF(OR(AI5="",AI5&lt;1),"Хотя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земли",""),IF(W5="","Формат долга",""),IF(OR(X5="",X5&lt;=0),"Сумма долга",""),IF(AND(W5="Долги + Аукцион",OR(Y5="",Y5&lt;=0)),"Продать сейчас",""),IF(AND(W5="Долги + Аукцион",OR(Z5="",Z5&lt;=0)),"Минимальная цена продажи",""),IF(AND(W5="Долги + Аукцион",OR(AA5="",AA5&lt;=0)),"Стартовая ставка",""),IF(AND(W5="Долги + Аукцион",AB5=""),"Начало аукциона",""),IF(AND(W5="Долги + Аукцион",AC5=""),"Окончание аукциона",""),IF(AND(W5="Долги + Аукцион",AND(Y5&lt;&gt;"",Z5&lt;&gt;"",Z5&gt;Y5)),"Минимальная цена выше «Продать сейчас»",""),IF(AND(W5="Долги + Аукцион",AND(Y5&lt;&gt;"",Z5&lt;&gt;"",Z5&lt;=Y5,Z5&gt;Y5*0.9)),"Минимальная цена выше 90% от «Продать сейчас»",""),IF(AND(W5="Долги + Аукцион",AND(Y5&lt;&gt;"",AA5&lt;&gt;"",AA5&gt;Y5*0.3)),"Стартовая ставка выше 30% от «Продать сейчас»",""),IF(AND(W5="Долги + Аукцион",AND(AB5&lt;&gt;"",AC5&lt;&gt;"",AC5&lt;EDATE(AB5,3)+15)),"Аукцион короче 3 месяцев и 15 дней",""))))</f>
        <v/>
      </c>
      <c r="AP5" s="35">
        <f>IF(NOT(COUNTA(A5:AN5)&gt;0),"",IF(TEXTJOIN(", ",TRUE,IF(AL5="","Описание",""),IF(AND(AI5&lt;&gt;"",AI5&gt;=1,AI5&lt;5),"Фото меньше 5",""),IF(AK5="","Видео",""),IF(H5="","Кадастровый номер",""),IF(AJ5="","Ссылка на фото",""),IF(OR(AD5="",AD5="Нет"),"Кредитный договор",""),IF(OR(AE5="",AE5="Нет"),"Нотариальная закладная",""),IF(OR(AF5="",AF5="Нет"),"Выписка из реестра",""),IF(OR(AG5="",AG5="Нет"),"Оценка объекта",""),IF(AH5="","Статус в суде",""))="","",TEXTJOIN(", ",TRUE,IF(AL5="","Описание",""),IF(AND(AI5&lt;&gt;"",AI5&gt;=1,AI5&lt;5),"Фото меньше 5",""),IF(AK5="","Видео",""),IF(H5="","Кадастровый номер",""),IF(AJ5="","Ссылка на фото",""),IF(OR(AD5="",AD5="Нет"),"Кредитный договор",""),IF(OR(AE5="",AE5="Нет"),"Нотариальная закладная",""),IF(OR(AF5="",AF5="Нет"),"Выписка из реестра",""),IF(OR(AG5="",AG5="Нет"),"Оценка объекта",""),IF(AH5="","Статус в суде",""))))</f>
        <v/>
      </c>
      <c r="AQ5" s="35">
        <f>IF(NOT(COUNTA(A5:AN5)&gt;0),"",IF(AO5="","Можно публиковать","Не хватает"))</f>
        <v/>
      </c>
    </row>
    <row r="6" ht="22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7" t="n"/>
      <c r="K6" s="37" t="n"/>
      <c r="L6" s="37" t="n"/>
      <c r="M6" s="38" t="n"/>
      <c r="N6" s="38" t="n"/>
      <c r="O6" s="38" t="n"/>
      <c r="P6" s="38" t="n"/>
      <c r="Q6" s="38" t="n"/>
      <c r="R6" s="38" t="n"/>
      <c r="S6" s="36" t="n"/>
      <c r="T6" s="36" t="n"/>
      <c r="U6" s="36" t="n"/>
      <c r="V6" s="36" t="n"/>
      <c r="W6" s="36" t="n"/>
      <c r="X6" s="39" t="n"/>
      <c r="Y6" s="39" t="n"/>
      <c r="Z6" s="39" t="n"/>
      <c r="AA6" s="39" t="n"/>
      <c r="AB6" s="40" t="n"/>
      <c r="AC6" s="40" t="n"/>
      <c r="AD6" s="36" t="n"/>
      <c r="AE6" s="36" t="n"/>
      <c r="AF6" s="36" t="n"/>
      <c r="AG6" s="36" t="n"/>
      <c r="AH6" s="36" t="n"/>
      <c r="AI6" s="38" t="n"/>
      <c r="AJ6" s="36" t="n"/>
      <c r="AK6" s="36" t="n"/>
      <c r="AL6" s="36" t="n"/>
      <c r="AM6" s="36" t="n"/>
      <c r="AN6" s="36" t="n"/>
      <c r="AO6" s="35">
        <f>IF(NOT(COUNTA(A6:AN6)&gt;0),"",IF(TEXTJOIN(", ",TRUE,IF(B6="","Название",""),IF(C6="","Тип недвижимости",""),IF(D6="","Страна",""),IF(E6="","Город",""),IF(F6="","Улица",""),IF(I6="","Валюта",""),IF(OR(AI6="",AI6&lt;1),"Хотя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земли",""),IF(W6="","Формат долга",""),IF(OR(X6="",X6&lt;=0),"Сумма долга",""),IF(AND(W6="Долги + Аукцион",OR(Y6="",Y6&lt;=0)),"Продать сейчас",""),IF(AND(W6="Долги + Аукцион",OR(Z6="",Z6&lt;=0)),"Минимальная цена продажи",""),IF(AND(W6="Долги + Аукцион",OR(AA6="",AA6&lt;=0)),"Стартовая ставка",""),IF(AND(W6="Долги + Аукцион",AB6=""),"Начало аукциона",""),IF(AND(W6="Долги + Аукцион",AC6=""),"Окончание аукциона",""),IF(AND(W6="Долги + Аукцион",AND(Y6&lt;&gt;"",Z6&lt;&gt;"",Z6&gt;Y6)),"Минимальная цена выше «Продать сейчас»",""),IF(AND(W6="Долги + Аукцион",AND(Y6&lt;&gt;"",Z6&lt;&gt;"",Z6&lt;=Y6,Z6&gt;Y6*0.9)),"Минимальная цена выше 90% от «Продать сейчас»",""),IF(AND(W6="Долги + Аукцион",AND(Y6&lt;&gt;"",AA6&lt;&gt;"",AA6&gt;Y6*0.3)),"Стартовая ставка выше 30% от «Продать сейчас»",""),IF(AND(W6="Долги + Аукцион",AND(AB6&lt;&gt;"",AC6&lt;&gt;"",AC6&lt;EDATE(AB6,3)+15)),"Аукцион короче 3 месяцев и 15 дней",""))="","",TEXTJOIN(", ",TRUE,IF(B6="","Название",""),IF(C6="","Тип недвижимости",""),IF(D6="","Страна",""),IF(E6="","Город",""),IF(F6="","Улица",""),IF(I6="","Валюта",""),IF(OR(AI6="",AI6&lt;1),"Хотя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земли",""),IF(W6="","Формат долга",""),IF(OR(X6="",X6&lt;=0),"Сумма долга",""),IF(AND(W6="Долги + Аукцион",OR(Y6="",Y6&lt;=0)),"Продать сейчас",""),IF(AND(W6="Долги + Аукцион",OR(Z6="",Z6&lt;=0)),"Минимальная цена продажи",""),IF(AND(W6="Долги + Аукцион",OR(AA6="",AA6&lt;=0)),"Стартовая ставка",""),IF(AND(W6="Долги + Аукцион",AB6=""),"Начало аукциона",""),IF(AND(W6="Долги + Аукцион",AC6=""),"Окончание аукциона",""),IF(AND(W6="Долги + Аукцион",AND(Y6&lt;&gt;"",Z6&lt;&gt;"",Z6&gt;Y6)),"Минимальная цена выше «Продать сейчас»",""),IF(AND(W6="Долги + Аукцион",AND(Y6&lt;&gt;"",Z6&lt;&gt;"",Z6&lt;=Y6,Z6&gt;Y6*0.9)),"Минимальная цена выше 90% от «Продать сейчас»",""),IF(AND(W6="Долги + Аукцион",AND(Y6&lt;&gt;"",AA6&lt;&gt;"",AA6&gt;Y6*0.3)),"Стартовая ставка выше 30% от «Продать сейчас»",""),IF(AND(W6="Долги + Аукцион",AND(AB6&lt;&gt;"",AC6&lt;&gt;"",AC6&lt;EDATE(AB6,3)+15)),"Аукцион короче 3 месяцев и 15 дней",""))))</f>
        <v/>
      </c>
      <c r="AP6" s="35">
        <f>IF(NOT(COUNTA(A6:AN6)&gt;0),"",IF(TEXTJOIN(", ",TRUE,IF(AL6="","Описание",""),IF(AND(AI6&lt;&gt;"",AI6&gt;=1,AI6&lt;5),"Фото меньше 5",""),IF(AK6="","Видео",""),IF(H6="","Кадастровый номер",""),IF(AJ6="","Ссылка на фото",""),IF(OR(AD6="",AD6="Нет"),"Кредитный договор",""),IF(OR(AE6="",AE6="Нет"),"Нотариальная закладная",""),IF(OR(AF6="",AF6="Нет"),"Выписка из реестра",""),IF(OR(AG6="",AG6="Нет"),"Оценка объекта",""),IF(AH6="","Статус в суде",""))="","",TEXTJOIN(", ",TRUE,IF(AL6="","Описание",""),IF(AND(AI6&lt;&gt;"",AI6&gt;=1,AI6&lt;5),"Фото меньше 5",""),IF(AK6="","Видео",""),IF(H6="","Кадастровый номер",""),IF(AJ6="","Ссылка на фото",""),IF(OR(AD6="",AD6="Нет"),"Кредитный договор",""),IF(OR(AE6="",AE6="Нет"),"Нотариальная закладная",""),IF(OR(AF6="",AF6="Нет"),"Выписка из реестра",""),IF(OR(AG6="",AG6="Нет"),"Оценка объекта",""),IF(AH6="","Статус в суде",""))))</f>
        <v/>
      </c>
      <c r="AQ6" s="35">
        <f>IF(NOT(COUNTA(A6:AN6)&gt;0),"",IF(AO6="","Можно публиковать","Не хватает"))</f>
        <v/>
      </c>
    </row>
    <row r="7" ht="22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31" t="n"/>
      <c r="L7" s="31" t="n"/>
      <c r="M7" s="32" t="n"/>
      <c r="N7" s="32" t="n"/>
      <c r="O7" s="32" t="n"/>
      <c r="P7" s="32" t="n"/>
      <c r="Q7" s="32" t="n"/>
      <c r="R7" s="32" t="n"/>
      <c r="S7" s="30" t="n"/>
      <c r="T7" s="30" t="n"/>
      <c r="U7" s="30" t="n"/>
      <c r="V7" s="30" t="n"/>
      <c r="W7" s="30" t="n"/>
      <c r="X7" s="33" t="n"/>
      <c r="Y7" s="33" t="n"/>
      <c r="Z7" s="33" t="n"/>
      <c r="AA7" s="33" t="n"/>
      <c r="AB7" s="34" t="n"/>
      <c r="AC7" s="34" t="n"/>
      <c r="AD7" s="30" t="n"/>
      <c r="AE7" s="30" t="n"/>
      <c r="AF7" s="30" t="n"/>
      <c r="AG7" s="30" t="n"/>
      <c r="AH7" s="30" t="n"/>
      <c r="AI7" s="32" t="n"/>
      <c r="AJ7" s="30" t="n"/>
      <c r="AK7" s="30" t="n"/>
      <c r="AL7" s="30" t="n"/>
      <c r="AM7" s="30" t="n"/>
      <c r="AN7" s="30" t="n"/>
      <c r="AO7" s="35">
        <f>IF(NOT(COUNTA(A7:AN7)&gt;0),"",IF(TEXTJOIN(", ",TRUE,IF(B7="","Название",""),IF(C7="","Тип недвижимости",""),IF(D7="","Страна",""),IF(E7="","Город",""),IF(F7="","Улица",""),IF(I7="","Валюта",""),IF(OR(AI7="",AI7&lt;1),"Хотя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земли",""),IF(W7="","Формат долга",""),IF(OR(X7="",X7&lt;=0),"Сумма долга",""),IF(AND(W7="Долги + Аукцион",OR(Y7="",Y7&lt;=0)),"Продать сейчас",""),IF(AND(W7="Долги + Аукцион",OR(Z7="",Z7&lt;=0)),"Минимальная цена продажи",""),IF(AND(W7="Долги + Аукцион",OR(AA7="",AA7&lt;=0)),"Стартовая ставка",""),IF(AND(W7="Долги + Аукцион",AB7=""),"Начало аукциона",""),IF(AND(W7="Долги + Аукцион",AC7=""),"Окончание аукциона",""),IF(AND(W7="Долги + Аукцион",AND(Y7&lt;&gt;"",Z7&lt;&gt;"",Z7&gt;Y7)),"Минимальная цена выше «Продать сейчас»",""),IF(AND(W7="Долги + Аукцион",AND(Y7&lt;&gt;"",Z7&lt;&gt;"",Z7&lt;=Y7,Z7&gt;Y7*0.9)),"Минимальная цена выше 90% от «Продать сейчас»",""),IF(AND(W7="Долги + Аукцион",AND(Y7&lt;&gt;"",AA7&lt;&gt;"",AA7&gt;Y7*0.3)),"Стартовая ставка выше 30% от «Продать сейчас»",""),IF(AND(W7="Долги + Аукцион",AND(AB7&lt;&gt;"",AC7&lt;&gt;"",AC7&lt;EDATE(AB7,3)+15)),"Аукцион короче 3 месяцев и 15 дней",""))="","",TEXTJOIN(", ",TRUE,IF(B7="","Название",""),IF(C7="","Тип недвижимости",""),IF(D7="","Страна",""),IF(E7="","Город",""),IF(F7="","Улица",""),IF(I7="","Валюта",""),IF(OR(AI7="",AI7&lt;1),"Хотя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земли",""),IF(W7="","Формат долга",""),IF(OR(X7="",X7&lt;=0),"Сумма долга",""),IF(AND(W7="Долги + Аукцион",OR(Y7="",Y7&lt;=0)),"Продать сейчас",""),IF(AND(W7="Долги + Аукцион",OR(Z7="",Z7&lt;=0)),"Минимальная цена продажи",""),IF(AND(W7="Долги + Аукцион",OR(AA7="",AA7&lt;=0)),"Стартовая ставка",""),IF(AND(W7="Долги + Аукцион",AB7=""),"Начало аукциона",""),IF(AND(W7="Долги + Аукцион",AC7=""),"Окончание аукциона",""),IF(AND(W7="Долги + Аукцион",AND(Y7&lt;&gt;"",Z7&lt;&gt;"",Z7&gt;Y7)),"Минимальная цена выше «Продать сейчас»",""),IF(AND(W7="Долги + Аукцион",AND(Y7&lt;&gt;"",Z7&lt;&gt;"",Z7&lt;=Y7,Z7&gt;Y7*0.9)),"Минимальная цена выше 90% от «Продать сейчас»",""),IF(AND(W7="Долги + Аукцион",AND(Y7&lt;&gt;"",AA7&lt;&gt;"",AA7&gt;Y7*0.3)),"Стартовая ставка выше 30% от «Продать сейчас»",""),IF(AND(W7="Долги + Аукцион",AND(AB7&lt;&gt;"",AC7&lt;&gt;"",AC7&lt;EDATE(AB7,3)+15)),"Аукцион короче 3 месяцев и 15 дней",""))))</f>
        <v/>
      </c>
      <c r="AP7" s="35">
        <f>IF(NOT(COUNTA(A7:AN7)&gt;0),"",IF(TEXTJOIN(", ",TRUE,IF(AL7="","Описание",""),IF(AND(AI7&lt;&gt;"",AI7&gt;=1,AI7&lt;5),"Фото меньше 5",""),IF(AK7="","Видео",""),IF(H7="","Кадастровый номер",""),IF(AJ7="","Ссылка на фото",""),IF(OR(AD7="",AD7="Нет"),"Кредитный договор",""),IF(OR(AE7="",AE7="Нет"),"Нотариальная закладная",""),IF(OR(AF7="",AF7="Нет"),"Выписка из реестра",""),IF(OR(AG7="",AG7="Нет"),"Оценка объекта",""),IF(AH7="","Статус в суде",""))="","",TEXTJOIN(", ",TRUE,IF(AL7="","Описание",""),IF(AND(AI7&lt;&gt;"",AI7&gt;=1,AI7&lt;5),"Фото меньше 5",""),IF(AK7="","Видео",""),IF(H7="","Кадастровый номер",""),IF(AJ7="","Ссылка на фото",""),IF(OR(AD7="",AD7="Нет"),"Кредитный договор",""),IF(OR(AE7="",AE7="Нет"),"Нотариальная закладная",""),IF(OR(AF7="",AF7="Нет"),"Выписка из реестра",""),IF(OR(AG7="",AG7="Нет"),"Оценка объекта",""),IF(AH7="","Статус в суде",""))))</f>
        <v/>
      </c>
      <c r="AQ7" s="35">
        <f>IF(NOT(COUNTA(A7:AN7)&gt;0),"",IF(AO7="","Можно публиковать","Не хватает"))</f>
        <v/>
      </c>
    </row>
    <row r="8" ht="22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7" t="n"/>
      <c r="L8" s="37" t="n"/>
      <c r="M8" s="38" t="n"/>
      <c r="N8" s="38" t="n"/>
      <c r="O8" s="38" t="n"/>
      <c r="P8" s="38" t="n"/>
      <c r="Q8" s="38" t="n"/>
      <c r="R8" s="38" t="n"/>
      <c r="S8" s="36" t="n"/>
      <c r="T8" s="36" t="n"/>
      <c r="U8" s="36" t="n"/>
      <c r="V8" s="36" t="n"/>
      <c r="W8" s="36" t="n"/>
      <c r="X8" s="39" t="n"/>
      <c r="Y8" s="39" t="n"/>
      <c r="Z8" s="39" t="n"/>
      <c r="AA8" s="39" t="n"/>
      <c r="AB8" s="40" t="n"/>
      <c r="AC8" s="40" t="n"/>
      <c r="AD8" s="36" t="n"/>
      <c r="AE8" s="36" t="n"/>
      <c r="AF8" s="36" t="n"/>
      <c r="AG8" s="36" t="n"/>
      <c r="AH8" s="36" t="n"/>
      <c r="AI8" s="38" t="n"/>
      <c r="AJ8" s="36" t="n"/>
      <c r="AK8" s="36" t="n"/>
      <c r="AL8" s="36" t="n"/>
      <c r="AM8" s="36" t="n"/>
      <c r="AN8" s="36" t="n"/>
      <c r="AO8" s="35">
        <f>IF(NOT(COUNTA(A8:AN8)&gt;0),"",IF(TEXTJOIN(", ",TRUE,IF(B8="","Название",""),IF(C8="","Тип недвижимости",""),IF(D8="","Страна",""),IF(E8="","Город",""),IF(F8="","Улица",""),IF(I8="","Валюта",""),IF(OR(AI8="",AI8&lt;1),"Хотя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земли",""),IF(W8="","Формат долга",""),IF(OR(X8="",X8&lt;=0),"Сумма долга",""),IF(AND(W8="Долги + Аукцион",OR(Y8="",Y8&lt;=0)),"Продать сейчас",""),IF(AND(W8="Долги + Аукцион",OR(Z8="",Z8&lt;=0)),"Минимальная цена продажи",""),IF(AND(W8="Долги + Аукцион",OR(AA8="",AA8&lt;=0)),"Стартовая ставка",""),IF(AND(W8="Долги + Аукцион",AB8=""),"Начало аукциона",""),IF(AND(W8="Долги + Аукцион",AC8=""),"Окончание аукциона",""),IF(AND(W8="Долги + Аукцион",AND(Y8&lt;&gt;"",Z8&lt;&gt;"",Z8&gt;Y8)),"Минимальная цена выше «Продать сейчас»",""),IF(AND(W8="Долги + Аукцион",AND(Y8&lt;&gt;"",Z8&lt;&gt;"",Z8&lt;=Y8,Z8&gt;Y8*0.9)),"Минимальная цена выше 90% от «Продать сейчас»",""),IF(AND(W8="Долги + Аукцион",AND(Y8&lt;&gt;"",AA8&lt;&gt;"",AA8&gt;Y8*0.3)),"Стартовая ставка выше 30% от «Продать сейчас»",""),IF(AND(W8="Долги + Аукцион",AND(AB8&lt;&gt;"",AC8&lt;&gt;"",AC8&lt;EDATE(AB8,3)+15)),"Аукцион короче 3 месяцев и 15 дней",""))="","",TEXTJOIN(", ",TRUE,IF(B8="","Название",""),IF(C8="","Тип недвижимости",""),IF(D8="","Страна",""),IF(E8="","Город",""),IF(F8="","Улица",""),IF(I8="","Валюта",""),IF(OR(AI8="",AI8&lt;1),"Хотя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земли",""),IF(W8="","Формат долга",""),IF(OR(X8="",X8&lt;=0),"Сумма долга",""),IF(AND(W8="Долги + Аукцион",OR(Y8="",Y8&lt;=0)),"Продать сейчас",""),IF(AND(W8="Долги + Аукцион",OR(Z8="",Z8&lt;=0)),"Минимальная цена продажи",""),IF(AND(W8="Долги + Аукцион",OR(AA8="",AA8&lt;=0)),"Стартовая ставка",""),IF(AND(W8="Долги + Аукцион",AB8=""),"Начало аукциона",""),IF(AND(W8="Долги + Аукцион",AC8=""),"Окончание аукциона",""),IF(AND(W8="Долги + Аукцион",AND(Y8&lt;&gt;"",Z8&lt;&gt;"",Z8&gt;Y8)),"Минимальная цена выше «Продать сейчас»",""),IF(AND(W8="Долги + Аукцион",AND(Y8&lt;&gt;"",Z8&lt;&gt;"",Z8&lt;=Y8,Z8&gt;Y8*0.9)),"Минимальная цена выше 90% от «Продать сейчас»",""),IF(AND(W8="Долги + Аукцион",AND(Y8&lt;&gt;"",AA8&lt;&gt;"",AA8&gt;Y8*0.3)),"Стартовая ставка выше 30% от «Продать сейчас»",""),IF(AND(W8="Долги + Аукцион",AND(AB8&lt;&gt;"",AC8&lt;&gt;"",AC8&lt;EDATE(AB8,3)+15)),"Аукцион короче 3 месяцев и 15 дней",""))))</f>
        <v/>
      </c>
      <c r="AP8" s="35">
        <f>IF(NOT(COUNTA(A8:AN8)&gt;0),"",IF(TEXTJOIN(", ",TRUE,IF(AL8="","Описание",""),IF(AND(AI8&lt;&gt;"",AI8&gt;=1,AI8&lt;5),"Фото меньше 5",""),IF(AK8="","Видео",""),IF(H8="","Кадастровый номер",""),IF(AJ8="","Ссылка на фото",""),IF(OR(AD8="",AD8="Нет"),"Кредитный договор",""),IF(OR(AE8="",AE8="Нет"),"Нотариальная закладная",""),IF(OR(AF8="",AF8="Нет"),"Выписка из реестра",""),IF(OR(AG8="",AG8="Нет"),"Оценка объекта",""),IF(AH8="","Статус в суде",""))="","",TEXTJOIN(", ",TRUE,IF(AL8="","Описание",""),IF(AND(AI8&lt;&gt;"",AI8&gt;=1,AI8&lt;5),"Фото меньше 5",""),IF(AK8="","Видео",""),IF(H8="","Кадастровый номер",""),IF(AJ8="","Ссылка на фото",""),IF(OR(AD8="",AD8="Нет"),"Кредитный договор",""),IF(OR(AE8="",AE8="Нет"),"Нотариальная закладная",""),IF(OR(AF8="",AF8="Нет"),"Выписка из реестра",""),IF(OR(AG8="",AG8="Нет"),"Оценка объекта",""),IF(AH8="","Статус в суде",""))))</f>
        <v/>
      </c>
      <c r="AQ8" s="35">
        <f>IF(NOT(COUNTA(A8:AN8)&gt;0),"",IF(AO8="","Можно публиковать","Не хватает"))</f>
        <v/>
      </c>
    </row>
    <row r="9" ht="22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31" t="n"/>
      <c r="L9" s="31" t="n"/>
      <c r="M9" s="32" t="n"/>
      <c r="N9" s="32" t="n"/>
      <c r="O9" s="32" t="n"/>
      <c r="P9" s="32" t="n"/>
      <c r="Q9" s="32" t="n"/>
      <c r="R9" s="32" t="n"/>
      <c r="S9" s="30" t="n"/>
      <c r="T9" s="30" t="n"/>
      <c r="U9" s="30" t="n"/>
      <c r="V9" s="30" t="n"/>
      <c r="W9" s="30" t="n"/>
      <c r="X9" s="33" t="n"/>
      <c r="Y9" s="33" t="n"/>
      <c r="Z9" s="33" t="n"/>
      <c r="AA9" s="33" t="n"/>
      <c r="AB9" s="34" t="n"/>
      <c r="AC9" s="34" t="n"/>
      <c r="AD9" s="30" t="n"/>
      <c r="AE9" s="30" t="n"/>
      <c r="AF9" s="30" t="n"/>
      <c r="AG9" s="30" t="n"/>
      <c r="AH9" s="30" t="n"/>
      <c r="AI9" s="32" t="n"/>
      <c r="AJ9" s="30" t="n"/>
      <c r="AK9" s="30" t="n"/>
      <c r="AL9" s="30" t="n"/>
      <c r="AM9" s="30" t="n"/>
      <c r="AN9" s="30" t="n"/>
      <c r="AO9" s="35">
        <f>IF(NOT(COUNTA(A9:AN9)&gt;0),"",IF(TEXTJOIN(", ",TRUE,IF(B9="","Название",""),IF(C9="","Тип недвижимости",""),IF(D9="","Страна",""),IF(E9="","Город",""),IF(F9="","Улица",""),IF(I9="","Валюта",""),IF(OR(AI9="",AI9&lt;1),"Хотя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земли",""),IF(W9="","Формат долга",""),IF(OR(X9="",X9&lt;=0),"Сумма долга",""),IF(AND(W9="Долги + Аукцион",OR(Y9="",Y9&lt;=0)),"Продать сейчас",""),IF(AND(W9="Долги + Аукцион",OR(Z9="",Z9&lt;=0)),"Минимальная цена продажи",""),IF(AND(W9="Долги + Аукцион",OR(AA9="",AA9&lt;=0)),"Стартовая ставка",""),IF(AND(W9="Долги + Аукцион",AB9=""),"Начало аукциона",""),IF(AND(W9="Долги + Аукцион",AC9=""),"Окончание аукциона",""),IF(AND(W9="Долги + Аукцион",AND(Y9&lt;&gt;"",Z9&lt;&gt;"",Z9&gt;Y9)),"Минимальная цена выше «Продать сейчас»",""),IF(AND(W9="Долги + Аукцион",AND(Y9&lt;&gt;"",Z9&lt;&gt;"",Z9&lt;=Y9,Z9&gt;Y9*0.9)),"Минимальная цена выше 90% от «Продать сейчас»",""),IF(AND(W9="Долги + Аукцион",AND(Y9&lt;&gt;"",AA9&lt;&gt;"",AA9&gt;Y9*0.3)),"Стартовая ставка выше 30% от «Продать сейчас»",""),IF(AND(W9="Долги + Аукцион",AND(AB9&lt;&gt;"",AC9&lt;&gt;"",AC9&lt;EDATE(AB9,3)+15)),"Аукцион короче 3 месяцев и 15 дней",""))="","",TEXTJOIN(", ",TRUE,IF(B9="","Название",""),IF(C9="","Тип недвижимости",""),IF(D9="","Страна",""),IF(E9="","Город",""),IF(F9="","Улица",""),IF(I9="","Валюта",""),IF(OR(AI9="",AI9&lt;1),"Хотя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земли",""),IF(W9="","Формат долга",""),IF(OR(X9="",X9&lt;=0),"Сумма долга",""),IF(AND(W9="Долги + Аукцион",OR(Y9="",Y9&lt;=0)),"Продать сейчас",""),IF(AND(W9="Долги + Аукцион",OR(Z9="",Z9&lt;=0)),"Минимальная цена продажи",""),IF(AND(W9="Долги + Аукцион",OR(AA9="",AA9&lt;=0)),"Стартовая ставка",""),IF(AND(W9="Долги + Аукцион",AB9=""),"Начало аукциона",""),IF(AND(W9="Долги + Аукцион",AC9=""),"Окончание аукциона",""),IF(AND(W9="Долги + Аукцион",AND(Y9&lt;&gt;"",Z9&lt;&gt;"",Z9&gt;Y9)),"Минимальная цена выше «Продать сейчас»",""),IF(AND(W9="Долги + Аукцион",AND(Y9&lt;&gt;"",Z9&lt;&gt;"",Z9&lt;=Y9,Z9&gt;Y9*0.9)),"Минимальная цена выше 90% от «Продать сейчас»",""),IF(AND(W9="Долги + Аукцион",AND(Y9&lt;&gt;"",AA9&lt;&gt;"",AA9&gt;Y9*0.3)),"Стартовая ставка выше 30% от «Продать сейчас»",""),IF(AND(W9="Долги + Аукцион",AND(AB9&lt;&gt;"",AC9&lt;&gt;"",AC9&lt;EDATE(AB9,3)+15)),"Аукцион короче 3 месяцев и 15 дней",""))))</f>
        <v/>
      </c>
      <c r="AP9" s="35">
        <f>IF(NOT(COUNTA(A9:AN9)&gt;0),"",IF(TEXTJOIN(", ",TRUE,IF(AL9="","Описание",""),IF(AND(AI9&lt;&gt;"",AI9&gt;=1,AI9&lt;5),"Фото меньше 5",""),IF(AK9="","Видео",""),IF(H9="","Кадастровый номер",""),IF(AJ9="","Ссылка на фото",""),IF(OR(AD9="",AD9="Нет"),"Кредитный договор",""),IF(OR(AE9="",AE9="Нет"),"Нотариальная закладная",""),IF(OR(AF9="",AF9="Нет"),"Выписка из реестра",""),IF(OR(AG9="",AG9="Нет"),"Оценка объекта",""),IF(AH9="","Статус в суде",""))="","",TEXTJOIN(", ",TRUE,IF(AL9="","Описание",""),IF(AND(AI9&lt;&gt;"",AI9&gt;=1,AI9&lt;5),"Фото меньше 5",""),IF(AK9="","Видео",""),IF(H9="","Кадастровый номер",""),IF(AJ9="","Ссылка на фото",""),IF(OR(AD9="",AD9="Нет"),"Кредитный договор",""),IF(OR(AE9="",AE9="Нет"),"Нотариальная закладная",""),IF(OR(AF9="",AF9="Нет"),"Выписка из реестра",""),IF(OR(AG9="",AG9="Нет"),"Оценка объекта",""),IF(AH9="","Статус в суде",""))))</f>
        <v/>
      </c>
      <c r="AQ9" s="35">
        <f>IF(NOT(COUNTA(A9:AN9)&gt;0),"",IF(AO9="","Можно публиковать","Не хватает"))</f>
        <v/>
      </c>
    </row>
    <row r="10" ht="22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7" t="n"/>
      <c r="L10" s="37" t="n"/>
      <c r="M10" s="38" t="n"/>
      <c r="N10" s="38" t="n"/>
      <c r="O10" s="38" t="n"/>
      <c r="P10" s="38" t="n"/>
      <c r="Q10" s="38" t="n"/>
      <c r="R10" s="38" t="n"/>
      <c r="S10" s="36" t="n"/>
      <c r="T10" s="36" t="n"/>
      <c r="U10" s="36" t="n"/>
      <c r="V10" s="36" t="n"/>
      <c r="W10" s="36" t="n"/>
      <c r="X10" s="39" t="n"/>
      <c r="Y10" s="39" t="n"/>
      <c r="Z10" s="39" t="n"/>
      <c r="AA10" s="39" t="n"/>
      <c r="AB10" s="40" t="n"/>
      <c r="AC10" s="40" t="n"/>
      <c r="AD10" s="36" t="n"/>
      <c r="AE10" s="36" t="n"/>
      <c r="AF10" s="36" t="n"/>
      <c r="AG10" s="36" t="n"/>
      <c r="AH10" s="36" t="n"/>
      <c r="AI10" s="38" t="n"/>
      <c r="AJ10" s="36" t="n"/>
      <c r="AK10" s="36" t="n"/>
      <c r="AL10" s="36" t="n"/>
      <c r="AM10" s="36" t="n"/>
      <c r="AN10" s="36" t="n"/>
      <c r="AO10" s="35">
        <f>IF(NOT(COUNTA(A10:AN10)&gt;0),"",IF(TEXTJOIN(", ",TRUE,IF(B10="","Название",""),IF(C10="","Тип недвижимости",""),IF(D10="","Страна",""),IF(E10="","Город",""),IF(F10="","Улица",""),IF(I10="","Валюта",""),IF(OR(AI10="",AI10&lt;1),"Хотя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земли",""),IF(W10="","Формат долга",""),IF(OR(X10="",X10&lt;=0),"Сумма долга",""),IF(AND(W10="Долги + Аукцион",OR(Y10="",Y10&lt;=0)),"Продать сейчас",""),IF(AND(W10="Долги + Аукцион",OR(Z10="",Z10&lt;=0)),"Минимальная цена продажи",""),IF(AND(W10="Долги + Аукцион",OR(AA10="",AA10&lt;=0)),"Стартовая ставка",""),IF(AND(W10="Долги + Аукцион",AB10=""),"Начало аукциона",""),IF(AND(W10="Долги + Аукцион",AC10=""),"Окончание аукциона",""),IF(AND(W10="Долги + Аукцион",AND(Y10&lt;&gt;"",Z10&lt;&gt;"",Z10&gt;Y10)),"Минимальная цена выше «Продать сейчас»",""),IF(AND(W10="Долги + Аукцион",AND(Y10&lt;&gt;"",Z10&lt;&gt;"",Z10&lt;=Y10,Z10&gt;Y10*0.9)),"Минимальная цена выше 90% от «Продать сейчас»",""),IF(AND(W10="Долги + Аукцион",AND(Y10&lt;&gt;"",AA10&lt;&gt;"",AA10&gt;Y10*0.3)),"Стартовая ставка выше 30% от «Продать сейчас»",""),IF(AND(W10="Долги + Аукцион",AND(AB10&lt;&gt;"",AC10&lt;&gt;"",AC10&lt;EDATE(AB10,3)+15)),"Аукцион короче 3 месяцев и 15 дней",""))="","",TEXTJOIN(", ",TRUE,IF(B10="","Название",""),IF(C10="","Тип недвижимости",""),IF(D10="","Страна",""),IF(E10="","Город",""),IF(F10="","Улица",""),IF(I10="","Валюта",""),IF(OR(AI10="",AI10&lt;1),"Хотя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земли",""),IF(W10="","Формат долга",""),IF(OR(X10="",X10&lt;=0),"Сумма долга",""),IF(AND(W10="Долги + Аукцион",OR(Y10="",Y10&lt;=0)),"Продать сейчас",""),IF(AND(W10="Долги + Аукцион",OR(Z10="",Z10&lt;=0)),"Минимальная цена продажи",""),IF(AND(W10="Долги + Аукцион",OR(AA10="",AA10&lt;=0)),"Стартовая ставка",""),IF(AND(W10="Долги + Аукцион",AB10=""),"Начало аукциона",""),IF(AND(W10="Долги + Аукцион",AC10=""),"Окончание аукциона",""),IF(AND(W10="Долги + Аукцион",AND(Y10&lt;&gt;"",Z10&lt;&gt;"",Z10&gt;Y10)),"Минимальная цена выше «Продать сейчас»",""),IF(AND(W10="Долги + Аукцион",AND(Y10&lt;&gt;"",Z10&lt;&gt;"",Z10&lt;=Y10,Z10&gt;Y10*0.9)),"Минимальная цена выше 90% от «Продать сейчас»",""),IF(AND(W10="Долги + Аукцион",AND(Y10&lt;&gt;"",AA10&lt;&gt;"",AA10&gt;Y10*0.3)),"Стартовая ставка выше 30% от «Продать сейчас»",""),IF(AND(W10="Долги + Аукцион",AND(AB10&lt;&gt;"",AC10&lt;&gt;"",AC10&lt;EDATE(AB10,3)+15)),"Аукцион короче 3 месяцев и 15 дней",""))))</f>
        <v/>
      </c>
      <c r="AP10" s="35">
        <f>IF(NOT(COUNTA(A10:AN10)&gt;0),"",IF(TEXTJOIN(", ",TRUE,IF(AL10="","Описание",""),IF(AND(AI10&lt;&gt;"",AI10&gt;=1,AI10&lt;5),"Фото меньше 5",""),IF(AK10="","Видео",""),IF(H10="","Кадастровый номер",""),IF(AJ10="","Ссылка на фото",""),IF(OR(AD10="",AD10="Нет"),"Кредитный договор",""),IF(OR(AE10="",AE10="Нет"),"Нотариальная закладная",""),IF(OR(AF10="",AF10="Нет"),"Выписка из реестра",""),IF(OR(AG10="",AG10="Нет"),"Оценка объекта",""),IF(AH10="","Статус в суде",""))="","",TEXTJOIN(", ",TRUE,IF(AL10="","Описание",""),IF(AND(AI10&lt;&gt;"",AI10&gt;=1,AI10&lt;5),"Фото меньше 5",""),IF(AK10="","Видео",""),IF(H10="","Кадастровый номер",""),IF(AJ10="","Ссылка на фото",""),IF(OR(AD10="",AD10="Нет"),"Кредитный договор",""),IF(OR(AE10="",AE10="Нет"),"Нотариальная закладная",""),IF(OR(AF10="",AF10="Нет"),"Выписка из реестра",""),IF(OR(AG10="",AG10="Нет"),"Оценка объекта",""),IF(AH10="","Статус в суде",""))))</f>
        <v/>
      </c>
      <c r="AQ10" s="35">
        <f>IF(NOT(COUNTA(A10:AN10)&gt;0),"",IF(AO10="","Можно публиковать","Не хватает"))</f>
        <v/>
      </c>
    </row>
    <row r="11" ht="22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 t="n"/>
      <c r="K11" s="31" t="n"/>
      <c r="L11" s="31" t="n"/>
      <c r="M11" s="32" t="n"/>
      <c r="N11" s="32" t="n"/>
      <c r="O11" s="32" t="n"/>
      <c r="P11" s="32" t="n"/>
      <c r="Q11" s="32" t="n"/>
      <c r="R11" s="32" t="n"/>
      <c r="S11" s="30" t="n"/>
      <c r="T11" s="30" t="n"/>
      <c r="U11" s="30" t="n"/>
      <c r="V11" s="30" t="n"/>
      <c r="W11" s="30" t="n"/>
      <c r="X11" s="33" t="n"/>
      <c r="Y11" s="33" t="n"/>
      <c r="Z11" s="33" t="n"/>
      <c r="AA11" s="33" t="n"/>
      <c r="AB11" s="34" t="n"/>
      <c r="AC11" s="34" t="n"/>
      <c r="AD11" s="30" t="n"/>
      <c r="AE11" s="30" t="n"/>
      <c r="AF11" s="30" t="n"/>
      <c r="AG11" s="30" t="n"/>
      <c r="AH11" s="30" t="n"/>
      <c r="AI11" s="32" t="n"/>
      <c r="AJ11" s="30" t="n"/>
      <c r="AK11" s="30" t="n"/>
      <c r="AL11" s="30" t="n"/>
      <c r="AM11" s="30" t="n"/>
      <c r="AN11" s="30" t="n"/>
      <c r="AO11" s="35">
        <f>IF(NOT(COUNTA(A11:AN11)&gt;0),"",IF(TEXTJOIN(", ",TRUE,IF(B11="","Название",""),IF(C11="","Тип недвижимости",""),IF(D11="","Страна",""),IF(E11="","Город",""),IF(F11="","Улица",""),IF(I11="","Валюта",""),IF(OR(AI11="",AI11&lt;1),"Хотя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земли",""),IF(W11="","Формат долга",""),IF(OR(X11="",X11&lt;=0),"Сумма долга",""),IF(AND(W11="Долги + Аукцион",OR(Y11="",Y11&lt;=0)),"Продать сейчас",""),IF(AND(W11="Долги + Аукцион",OR(Z11="",Z11&lt;=0)),"Минимальная цена продажи",""),IF(AND(W11="Долги + Аукцион",OR(AA11="",AA11&lt;=0)),"Стартовая ставка",""),IF(AND(W11="Долги + Аукцион",AB11=""),"Начало аукциона",""),IF(AND(W11="Долги + Аукцион",AC11=""),"Окончание аукциона",""),IF(AND(W11="Долги + Аукцион",AND(Y11&lt;&gt;"",Z11&lt;&gt;"",Z11&gt;Y11)),"Минимальная цена выше «Продать сейчас»",""),IF(AND(W11="Долги + Аукцион",AND(Y11&lt;&gt;"",Z11&lt;&gt;"",Z11&lt;=Y11,Z11&gt;Y11*0.9)),"Минимальная цена выше 90% от «Продать сейчас»",""),IF(AND(W11="Долги + Аукцион",AND(Y11&lt;&gt;"",AA11&lt;&gt;"",AA11&gt;Y11*0.3)),"Стартовая ставка выше 30% от «Продать сейчас»",""),IF(AND(W11="Долги + Аукцион",AND(AB11&lt;&gt;"",AC11&lt;&gt;"",AC11&lt;EDATE(AB11,3)+15)),"Аукцион короче 3 месяцев и 15 дней",""))="","",TEXTJOIN(", ",TRUE,IF(B11="","Название",""),IF(C11="","Тип недвижимости",""),IF(D11="","Страна",""),IF(E11="","Город",""),IF(F11="","Улица",""),IF(I11="","Валюта",""),IF(OR(AI11="",AI11&lt;1),"Хотя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земли",""),IF(W11="","Формат долга",""),IF(OR(X11="",X11&lt;=0),"Сумма долга",""),IF(AND(W11="Долги + Аукцион",OR(Y11="",Y11&lt;=0)),"Продать сейчас",""),IF(AND(W11="Долги + Аукцион",OR(Z11="",Z11&lt;=0)),"Минимальная цена продажи",""),IF(AND(W11="Долги + Аукцион",OR(AA11="",AA11&lt;=0)),"Стартовая ставка",""),IF(AND(W11="Долги + Аукцион",AB11=""),"Начало аукциона",""),IF(AND(W11="Долги + Аукцион",AC11=""),"Окончание аукциона",""),IF(AND(W11="Долги + Аукцион",AND(Y11&lt;&gt;"",Z11&lt;&gt;"",Z11&gt;Y11)),"Минимальная цена выше «Продать сейчас»",""),IF(AND(W11="Долги + Аукцион",AND(Y11&lt;&gt;"",Z11&lt;&gt;"",Z11&lt;=Y11,Z11&gt;Y11*0.9)),"Минимальная цена выше 90% от «Продать сейчас»",""),IF(AND(W11="Долги + Аукцион",AND(Y11&lt;&gt;"",AA11&lt;&gt;"",AA11&gt;Y11*0.3)),"Стартовая ставка выше 30% от «Продать сейчас»",""),IF(AND(W11="Долги + Аукцион",AND(AB11&lt;&gt;"",AC11&lt;&gt;"",AC11&lt;EDATE(AB11,3)+15)),"Аукцион короче 3 месяцев и 15 дней",""))))</f>
        <v/>
      </c>
      <c r="AP11" s="35">
        <f>IF(NOT(COUNTA(A11:AN11)&gt;0),"",IF(TEXTJOIN(", ",TRUE,IF(AL11="","Описание",""),IF(AND(AI11&lt;&gt;"",AI11&gt;=1,AI11&lt;5),"Фото меньше 5",""),IF(AK11="","Видео",""),IF(H11="","Кадастровый номер",""),IF(AJ11="","Ссылка на фото",""),IF(OR(AD11="",AD11="Нет"),"Кредитный договор",""),IF(OR(AE11="",AE11="Нет"),"Нотариальная закладная",""),IF(OR(AF11="",AF11="Нет"),"Выписка из реестра",""),IF(OR(AG11="",AG11="Нет"),"Оценка объекта",""),IF(AH11="","Статус в суде",""))="","",TEXTJOIN(", ",TRUE,IF(AL11="","Описание",""),IF(AND(AI11&lt;&gt;"",AI11&gt;=1,AI11&lt;5),"Фото меньше 5",""),IF(AK11="","Видео",""),IF(H11="","Кадастровый номер",""),IF(AJ11="","Ссылка на фото",""),IF(OR(AD11="",AD11="Нет"),"Кредитный договор",""),IF(OR(AE11="",AE11="Нет"),"Нотариальная закладная",""),IF(OR(AF11="",AF11="Нет"),"Выписка из реестра",""),IF(OR(AG11="",AG11="Нет"),"Оценка объекта",""),IF(AH11="","Статус в суде",""))))</f>
        <v/>
      </c>
      <c r="AQ11" s="35">
        <f>IF(NOT(COUNTA(A11:AN11)&gt;0),"",IF(AO11="","Можно публиковать","Не хватает"))</f>
        <v/>
      </c>
    </row>
    <row r="12" ht="22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7" t="n"/>
      <c r="K12" s="37" t="n"/>
      <c r="L12" s="37" t="n"/>
      <c r="M12" s="38" t="n"/>
      <c r="N12" s="38" t="n"/>
      <c r="O12" s="38" t="n"/>
      <c r="P12" s="38" t="n"/>
      <c r="Q12" s="38" t="n"/>
      <c r="R12" s="38" t="n"/>
      <c r="S12" s="36" t="n"/>
      <c r="T12" s="36" t="n"/>
      <c r="U12" s="36" t="n"/>
      <c r="V12" s="36" t="n"/>
      <c r="W12" s="36" t="n"/>
      <c r="X12" s="39" t="n"/>
      <c r="Y12" s="39" t="n"/>
      <c r="Z12" s="39" t="n"/>
      <c r="AA12" s="39" t="n"/>
      <c r="AB12" s="40" t="n"/>
      <c r="AC12" s="40" t="n"/>
      <c r="AD12" s="36" t="n"/>
      <c r="AE12" s="36" t="n"/>
      <c r="AF12" s="36" t="n"/>
      <c r="AG12" s="36" t="n"/>
      <c r="AH12" s="36" t="n"/>
      <c r="AI12" s="38" t="n"/>
      <c r="AJ12" s="36" t="n"/>
      <c r="AK12" s="36" t="n"/>
      <c r="AL12" s="36" t="n"/>
      <c r="AM12" s="36" t="n"/>
      <c r="AN12" s="36" t="n"/>
      <c r="AO12" s="35">
        <f>IF(NOT(COUNTA(A12:AN12)&gt;0),"",IF(TEXTJOIN(", ",TRUE,IF(B12="","Название",""),IF(C12="","Тип недвижимости",""),IF(D12="","Страна",""),IF(E12="","Город",""),IF(F12="","Улица",""),IF(I12="","Валюта",""),IF(OR(AI12="",AI12&lt;1),"Хотя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земли",""),IF(W12="","Формат долга",""),IF(OR(X12="",X12&lt;=0),"Сумма долга",""),IF(AND(W12="Долги + Аукцион",OR(Y12="",Y12&lt;=0)),"Продать сейчас",""),IF(AND(W12="Долги + Аукцион",OR(Z12="",Z12&lt;=0)),"Минимальная цена продажи",""),IF(AND(W12="Долги + Аукцион",OR(AA12="",AA12&lt;=0)),"Стартовая ставка",""),IF(AND(W12="Долги + Аукцион",AB12=""),"Начало аукциона",""),IF(AND(W12="Долги + Аукцион",AC12=""),"Окончание аукциона",""),IF(AND(W12="Долги + Аукцион",AND(Y12&lt;&gt;"",Z12&lt;&gt;"",Z12&gt;Y12)),"Минимальная цена выше «Продать сейчас»",""),IF(AND(W12="Долги + Аукцион",AND(Y12&lt;&gt;"",Z12&lt;&gt;"",Z12&lt;=Y12,Z12&gt;Y12*0.9)),"Минимальная цена выше 90% от «Продать сейчас»",""),IF(AND(W12="Долги + Аукцион",AND(Y12&lt;&gt;"",AA12&lt;&gt;"",AA12&gt;Y12*0.3)),"Стартовая ставка выше 30% от «Продать сейчас»",""),IF(AND(W12="Долги + Аукцион",AND(AB12&lt;&gt;"",AC12&lt;&gt;"",AC12&lt;EDATE(AB12,3)+15)),"Аукцион короче 3 месяцев и 15 дней",""))="","",TEXTJOIN(", ",TRUE,IF(B12="","Название",""),IF(C12="","Тип недвижимости",""),IF(D12="","Страна",""),IF(E12="","Город",""),IF(F12="","Улица",""),IF(I12="","Валюта",""),IF(OR(AI12="",AI12&lt;1),"Хотя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земли",""),IF(W12="","Формат долга",""),IF(OR(X12="",X12&lt;=0),"Сумма долга",""),IF(AND(W12="Долги + Аукцион",OR(Y12="",Y12&lt;=0)),"Продать сейчас",""),IF(AND(W12="Долги + Аукцион",OR(Z12="",Z12&lt;=0)),"Минимальная цена продажи",""),IF(AND(W12="Долги + Аукцион",OR(AA12="",AA12&lt;=0)),"Стартовая ставка",""),IF(AND(W12="Долги + Аукцион",AB12=""),"Начало аукциона",""),IF(AND(W12="Долги + Аукцион",AC12=""),"Окончание аукциона",""),IF(AND(W12="Долги + Аукцион",AND(Y12&lt;&gt;"",Z12&lt;&gt;"",Z12&gt;Y12)),"Минимальная цена выше «Продать сейчас»",""),IF(AND(W12="Долги + Аукцион",AND(Y12&lt;&gt;"",Z12&lt;&gt;"",Z12&lt;=Y12,Z12&gt;Y12*0.9)),"Минимальная цена выше 90% от «Продать сейчас»",""),IF(AND(W12="Долги + Аукцион",AND(Y12&lt;&gt;"",AA12&lt;&gt;"",AA12&gt;Y12*0.3)),"Стартовая ставка выше 30% от «Продать сейчас»",""),IF(AND(W12="Долги + Аукцион",AND(AB12&lt;&gt;"",AC12&lt;&gt;"",AC12&lt;EDATE(AB12,3)+15)),"Аукцион короче 3 месяцев и 15 дней",""))))</f>
        <v/>
      </c>
      <c r="AP12" s="35">
        <f>IF(NOT(COUNTA(A12:AN12)&gt;0),"",IF(TEXTJOIN(", ",TRUE,IF(AL12="","Описание",""),IF(AND(AI12&lt;&gt;"",AI12&gt;=1,AI12&lt;5),"Фото меньше 5",""),IF(AK12="","Видео",""),IF(H12="","Кадастровый номер",""),IF(AJ12="","Ссылка на фото",""),IF(OR(AD12="",AD12="Нет"),"Кредитный договор",""),IF(OR(AE12="",AE12="Нет"),"Нотариальная закладная",""),IF(OR(AF12="",AF12="Нет"),"Выписка из реестра",""),IF(OR(AG12="",AG12="Нет"),"Оценка объекта",""),IF(AH12="","Статус в суде",""))="","",TEXTJOIN(", ",TRUE,IF(AL12="","Описание",""),IF(AND(AI12&lt;&gt;"",AI12&gt;=1,AI12&lt;5),"Фото меньше 5",""),IF(AK12="","Видео",""),IF(H12="","Кадастровый номер",""),IF(AJ12="","Ссылка на фото",""),IF(OR(AD12="",AD12="Нет"),"Кредитный договор",""),IF(OR(AE12="",AE12="Нет"),"Нотариальная закладная",""),IF(OR(AF12="",AF12="Нет"),"Выписка из реестра",""),IF(OR(AG12="",AG12="Нет"),"Оценка объекта",""),IF(AH12="","Статус в суде",""))))</f>
        <v/>
      </c>
      <c r="AQ12" s="35">
        <f>IF(NOT(COUNTA(A12:AN12)&gt;0),"",IF(AO12="","Можно публиковать","Не хватает"))</f>
        <v/>
      </c>
    </row>
    <row r="13" ht="22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31" t="n"/>
      <c r="L13" s="31" t="n"/>
      <c r="M13" s="32" t="n"/>
      <c r="N13" s="32" t="n"/>
      <c r="O13" s="32" t="n"/>
      <c r="P13" s="32" t="n"/>
      <c r="Q13" s="32" t="n"/>
      <c r="R13" s="32" t="n"/>
      <c r="S13" s="30" t="n"/>
      <c r="T13" s="30" t="n"/>
      <c r="U13" s="30" t="n"/>
      <c r="V13" s="30" t="n"/>
      <c r="W13" s="30" t="n"/>
      <c r="X13" s="33" t="n"/>
      <c r="Y13" s="33" t="n"/>
      <c r="Z13" s="33" t="n"/>
      <c r="AA13" s="33" t="n"/>
      <c r="AB13" s="34" t="n"/>
      <c r="AC13" s="34" t="n"/>
      <c r="AD13" s="30" t="n"/>
      <c r="AE13" s="30" t="n"/>
      <c r="AF13" s="30" t="n"/>
      <c r="AG13" s="30" t="n"/>
      <c r="AH13" s="30" t="n"/>
      <c r="AI13" s="32" t="n"/>
      <c r="AJ13" s="30" t="n"/>
      <c r="AK13" s="30" t="n"/>
      <c r="AL13" s="30" t="n"/>
      <c r="AM13" s="30" t="n"/>
      <c r="AN13" s="30" t="n"/>
      <c r="AO13" s="35">
        <f>IF(NOT(COUNTA(A13:AN13)&gt;0),"",IF(TEXTJOIN(", ",TRUE,IF(B13="","Название",""),IF(C13="","Тип недвижимости",""),IF(D13="","Страна",""),IF(E13="","Город",""),IF(F13="","Улица",""),IF(I13="","Валюта",""),IF(OR(AI13="",AI13&lt;1),"Хотя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земли",""),IF(W13="","Формат долга",""),IF(OR(X13="",X13&lt;=0),"Сумма долга",""),IF(AND(W13="Долги + Аукцион",OR(Y13="",Y13&lt;=0)),"Продать сейчас",""),IF(AND(W13="Долги + Аукцион",OR(Z13="",Z13&lt;=0)),"Минимальная цена продажи",""),IF(AND(W13="Долги + Аукцион",OR(AA13="",AA13&lt;=0)),"Стартовая ставка",""),IF(AND(W13="Долги + Аукцион",AB13=""),"Начало аукциона",""),IF(AND(W13="Долги + Аукцион",AC13=""),"Окончание аукциона",""),IF(AND(W13="Долги + Аукцион",AND(Y13&lt;&gt;"",Z13&lt;&gt;"",Z13&gt;Y13)),"Минимальная цена выше «Продать сейчас»",""),IF(AND(W13="Долги + Аукцион",AND(Y13&lt;&gt;"",Z13&lt;&gt;"",Z13&lt;=Y13,Z13&gt;Y13*0.9)),"Минимальная цена выше 90% от «Продать сейчас»",""),IF(AND(W13="Долги + Аукцион",AND(Y13&lt;&gt;"",AA13&lt;&gt;"",AA13&gt;Y13*0.3)),"Стартовая ставка выше 30% от «Продать сейчас»",""),IF(AND(W13="Долги + Аукцион",AND(AB13&lt;&gt;"",AC13&lt;&gt;"",AC13&lt;EDATE(AB13,3)+15)),"Аукцион короче 3 месяцев и 15 дней",""))="","",TEXTJOIN(", ",TRUE,IF(B13="","Название",""),IF(C13="","Тип недвижимости",""),IF(D13="","Страна",""),IF(E13="","Город",""),IF(F13="","Улица",""),IF(I13="","Валюта",""),IF(OR(AI13="",AI13&lt;1),"Хотя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земли",""),IF(W13="","Формат долга",""),IF(OR(X13="",X13&lt;=0),"Сумма долга",""),IF(AND(W13="Долги + Аукцион",OR(Y13="",Y13&lt;=0)),"Продать сейчас",""),IF(AND(W13="Долги + Аукцион",OR(Z13="",Z13&lt;=0)),"Минимальная цена продажи",""),IF(AND(W13="Долги + Аукцион",OR(AA13="",AA13&lt;=0)),"Стартовая ставка",""),IF(AND(W13="Долги + Аукцион",AB13=""),"Начало аукциона",""),IF(AND(W13="Долги + Аукцион",AC13=""),"Окончание аукциона",""),IF(AND(W13="Долги + Аукцион",AND(Y13&lt;&gt;"",Z13&lt;&gt;"",Z13&gt;Y13)),"Минимальная цена выше «Продать сейчас»",""),IF(AND(W13="Долги + Аукцион",AND(Y13&lt;&gt;"",Z13&lt;&gt;"",Z13&lt;=Y13,Z13&gt;Y13*0.9)),"Минимальная цена выше 90% от «Продать сейчас»",""),IF(AND(W13="Долги + Аукцион",AND(Y13&lt;&gt;"",AA13&lt;&gt;"",AA13&gt;Y13*0.3)),"Стартовая ставка выше 30% от «Продать сейчас»",""),IF(AND(W13="Долги + Аукцион",AND(AB13&lt;&gt;"",AC13&lt;&gt;"",AC13&lt;EDATE(AB13,3)+15)),"Аукцион короче 3 месяцев и 15 дней",""))))</f>
        <v/>
      </c>
      <c r="AP13" s="35">
        <f>IF(NOT(COUNTA(A13:AN13)&gt;0),"",IF(TEXTJOIN(", ",TRUE,IF(AL13="","Описание",""),IF(AND(AI13&lt;&gt;"",AI13&gt;=1,AI13&lt;5),"Фото меньше 5",""),IF(AK13="","Видео",""),IF(H13="","Кадастровый номер",""),IF(AJ13="","Ссылка на фото",""),IF(OR(AD13="",AD13="Нет"),"Кредитный договор",""),IF(OR(AE13="",AE13="Нет"),"Нотариальная закладная",""),IF(OR(AF13="",AF13="Нет"),"Выписка из реестра",""),IF(OR(AG13="",AG13="Нет"),"Оценка объекта",""),IF(AH13="","Статус в суде",""))="","",TEXTJOIN(", ",TRUE,IF(AL13="","Описание",""),IF(AND(AI13&lt;&gt;"",AI13&gt;=1,AI13&lt;5),"Фото меньше 5",""),IF(AK13="","Видео",""),IF(H13="","Кадастровый номер",""),IF(AJ13="","Ссылка на фото",""),IF(OR(AD13="",AD13="Нет"),"Кредитный договор",""),IF(OR(AE13="",AE13="Нет"),"Нотариальная закладная",""),IF(OR(AF13="",AF13="Нет"),"Выписка из реестра",""),IF(OR(AG13="",AG13="Нет"),"Оценка объекта",""),IF(AH13="","Статус в суде",""))))</f>
        <v/>
      </c>
      <c r="AQ13" s="35">
        <f>IF(NOT(COUNTA(A13:AN13)&gt;0),"",IF(AO13="","Можно публиковать","Не хватает"))</f>
        <v/>
      </c>
    </row>
    <row r="14" ht="22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7" t="n"/>
      <c r="K14" s="37" t="n"/>
      <c r="L14" s="37" t="n"/>
      <c r="M14" s="38" t="n"/>
      <c r="N14" s="38" t="n"/>
      <c r="O14" s="38" t="n"/>
      <c r="P14" s="38" t="n"/>
      <c r="Q14" s="38" t="n"/>
      <c r="R14" s="38" t="n"/>
      <c r="S14" s="36" t="n"/>
      <c r="T14" s="36" t="n"/>
      <c r="U14" s="36" t="n"/>
      <c r="V14" s="36" t="n"/>
      <c r="W14" s="36" t="n"/>
      <c r="X14" s="39" t="n"/>
      <c r="Y14" s="39" t="n"/>
      <c r="Z14" s="39" t="n"/>
      <c r="AA14" s="39" t="n"/>
      <c r="AB14" s="40" t="n"/>
      <c r="AC14" s="40" t="n"/>
      <c r="AD14" s="36" t="n"/>
      <c r="AE14" s="36" t="n"/>
      <c r="AF14" s="36" t="n"/>
      <c r="AG14" s="36" t="n"/>
      <c r="AH14" s="36" t="n"/>
      <c r="AI14" s="38" t="n"/>
      <c r="AJ14" s="36" t="n"/>
      <c r="AK14" s="36" t="n"/>
      <c r="AL14" s="36" t="n"/>
      <c r="AM14" s="36" t="n"/>
      <c r="AN14" s="36" t="n"/>
      <c r="AO14" s="35">
        <f>IF(NOT(COUNTA(A14:AN14)&gt;0),"",IF(TEXTJOIN(", ",TRUE,IF(B14="","Название",""),IF(C14="","Тип недвижимости",""),IF(D14="","Страна",""),IF(E14="","Город",""),IF(F14="","Улица",""),IF(I14="","Валюта",""),IF(OR(AI14="",AI14&lt;1),"Хотя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земли",""),IF(W14="","Формат долга",""),IF(OR(X14="",X14&lt;=0),"Сумма долга",""),IF(AND(W14="Долги + Аукцион",OR(Y14="",Y14&lt;=0)),"Продать сейчас",""),IF(AND(W14="Долги + Аукцион",OR(Z14="",Z14&lt;=0)),"Минимальная цена продажи",""),IF(AND(W14="Долги + Аукцион",OR(AA14="",AA14&lt;=0)),"Стартовая ставка",""),IF(AND(W14="Долги + Аукцион",AB14=""),"Начало аукциона",""),IF(AND(W14="Долги + Аукцион",AC14=""),"Окончание аукциона",""),IF(AND(W14="Долги + Аукцион",AND(Y14&lt;&gt;"",Z14&lt;&gt;"",Z14&gt;Y14)),"Минимальная цена выше «Продать сейчас»",""),IF(AND(W14="Долги + Аукцион",AND(Y14&lt;&gt;"",Z14&lt;&gt;"",Z14&lt;=Y14,Z14&gt;Y14*0.9)),"Минимальная цена выше 90% от «Продать сейчас»",""),IF(AND(W14="Долги + Аукцион",AND(Y14&lt;&gt;"",AA14&lt;&gt;"",AA14&gt;Y14*0.3)),"Стартовая ставка выше 30% от «Продать сейчас»",""),IF(AND(W14="Долги + Аукцион",AND(AB14&lt;&gt;"",AC14&lt;&gt;"",AC14&lt;EDATE(AB14,3)+15)),"Аукцион короче 3 месяцев и 15 дней",""))="","",TEXTJOIN(", ",TRUE,IF(B14="","Название",""),IF(C14="","Тип недвижимости",""),IF(D14="","Страна",""),IF(E14="","Город",""),IF(F14="","Улица",""),IF(I14="","Валюта",""),IF(OR(AI14="",AI14&lt;1),"Хотя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земли",""),IF(W14="","Формат долга",""),IF(OR(X14="",X14&lt;=0),"Сумма долга",""),IF(AND(W14="Долги + Аукцион",OR(Y14="",Y14&lt;=0)),"Продать сейчас",""),IF(AND(W14="Долги + Аукцион",OR(Z14="",Z14&lt;=0)),"Минимальная цена продажи",""),IF(AND(W14="Долги + Аукцион",OR(AA14="",AA14&lt;=0)),"Стартовая ставка",""),IF(AND(W14="Долги + Аукцион",AB14=""),"Начало аукциона",""),IF(AND(W14="Долги + Аукцион",AC14=""),"Окончание аукциона",""),IF(AND(W14="Долги + Аукцион",AND(Y14&lt;&gt;"",Z14&lt;&gt;"",Z14&gt;Y14)),"Минимальная цена выше «Продать сейчас»",""),IF(AND(W14="Долги + Аукцион",AND(Y14&lt;&gt;"",Z14&lt;&gt;"",Z14&lt;=Y14,Z14&gt;Y14*0.9)),"Минимальная цена выше 90% от «Продать сейчас»",""),IF(AND(W14="Долги + Аукцион",AND(Y14&lt;&gt;"",AA14&lt;&gt;"",AA14&gt;Y14*0.3)),"Стартовая ставка выше 30% от «Продать сейчас»",""),IF(AND(W14="Долги + Аукцион",AND(AB14&lt;&gt;"",AC14&lt;&gt;"",AC14&lt;EDATE(AB14,3)+15)),"Аукцион короче 3 месяцев и 15 дней",""))))</f>
        <v/>
      </c>
      <c r="AP14" s="35">
        <f>IF(NOT(COUNTA(A14:AN14)&gt;0),"",IF(TEXTJOIN(", ",TRUE,IF(AL14="","Описание",""),IF(AND(AI14&lt;&gt;"",AI14&gt;=1,AI14&lt;5),"Фото меньше 5",""),IF(AK14="","Видео",""),IF(H14="","Кадастровый номер",""),IF(AJ14="","Ссылка на фото",""),IF(OR(AD14="",AD14="Нет"),"Кредитный договор",""),IF(OR(AE14="",AE14="Нет"),"Нотариальная закладная",""),IF(OR(AF14="",AF14="Нет"),"Выписка из реестра",""),IF(OR(AG14="",AG14="Нет"),"Оценка объекта",""),IF(AH14="","Статус в суде",""))="","",TEXTJOIN(", ",TRUE,IF(AL14="","Описание",""),IF(AND(AI14&lt;&gt;"",AI14&gt;=1,AI14&lt;5),"Фото меньше 5",""),IF(AK14="","Видео",""),IF(H14="","Кадастровый номер",""),IF(AJ14="","Ссылка на фото",""),IF(OR(AD14="",AD14="Нет"),"Кредитный договор",""),IF(OR(AE14="",AE14="Нет"),"Нотариальная закладная",""),IF(OR(AF14="",AF14="Нет"),"Выписка из реестра",""),IF(OR(AG14="",AG14="Нет"),"Оценка объекта",""),IF(AH14="","Статус в суде",""))))</f>
        <v/>
      </c>
      <c r="AQ14" s="35">
        <f>IF(NOT(COUNTA(A14:AN14)&gt;0),"",IF(AO14="","Можно публиковать","Не хватает"))</f>
        <v/>
      </c>
    </row>
    <row r="15" ht="22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 t="n"/>
      <c r="K15" s="31" t="n"/>
      <c r="L15" s="31" t="n"/>
      <c r="M15" s="32" t="n"/>
      <c r="N15" s="32" t="n"/>
      <c r="O15" s="32" t="n"/>
      <c r="P15" s="32" t="n"/>
      <c r="Q15" s="32" t="n"/>
      <c r="R15" s="32" t="n"/>
      <c r="S15" s="30" t="n"/>
      <c r="T15" s="30" t="n"/>
      <c r="U15" s="30" t="n"/>
      <c r="V15" s="30" t="n"/>
      <c r="W15" s="30" t="n"/>
      <c r="X15" s="33" t="n"/>
      <c r="Y15" s="33" t="n"/>
      <c r="Z15" s="33" t="n"/>
      <c r="AA15" s="33" t="n"/>
      <c r="AB15" s="34" t="n"/>
      <c r="AC15" s="34" t="n"/>
      <c r="AD15" s="30" t="n"/>
      <c r="AE15" s="30" t="n"/>
      <c r="AF15" s="30" t="n"/>
      <c r="AG15" s="30" t="n"/>
      <c r="AH15" s="30" t="n"/>
      <c r="AI15" s="32" t="n"/>
      <c r="AJ15" s="30" t="n"/>
      <c r="AK15" s="30" t="n"/>
      <c r="AL15" s="30" t="n"/>
      <c r="AM15" s="30" t="n"/>
      <c r="AN15" s="30" t="n"/>
      <c r="AO15" s="35">
        <f>IF(NOT(COUNTA(A15:AN15)&gt;0),"",IF(TEXTJOIN(", ",TRUE,IF(B15="","Название",""),IF(C15="","Тип недвижимости",""),IF(D15="","Страна",""),IF(E15="","Город",""),IF(F15="","Улица",""),IF(I15="","Валюта",""),IF(OR(AI15="",AI15&lt;1),"Хотя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земли",""),IF(W15="","Формат долга",""),IF(OR(X15="",X15&lt;=0),"Сумма долга",""),IF(AND(W15="Долги + Аукцион",OR(Y15="",Y15&lt;=0)),"Продать сейчас",""),IF(AND(W15="Долги + Аукцион",OR(Z15="",Z15&lt;=0)),"Минимальная цена продажи",""),IF(AND(W15="Долги + Аукцион",OR(AA15="",AA15&lt;=0)),"Стартовая ставка",""),IF(AND(W15="Долги + Аукцион",AB15=""),"Начало аукциона",""),IF(AND(W15="Долги + Аукцион",AC15=""),"Окончание аукциона",""),IF(AND(W15="Долги + Аукцион",AND(Y15&lt;&gt;"",Z15&lt;&gt;"",Z15&gt;Y15)),"Минимальная цена выше «Продать сейчас»",""),IF(AND(W15="Долги + Аукцион",AND(Y15&lt;&gt;"",Z15&lt;&gt;"",Z15&lt;=Y15,Z15&gt;Y15*0.9)),"Минимальная цена выше 90% от «Продать сейчас»",""),IF(AND(W15="Долги + Аукцион",AND(Y15&lt;&gt;"",AA15&lt;&gt;"",AA15&gt;Y15*0.3)),"Стартовая ставка выше 30% от «Продать сейчас»",""),IF(AND(W15="Долги + Аукцион",AND(AB15&lt;&gt;"",AC15&lt;&gt;"",AC15&lt;EDATE(AB15,3)+15)),"Аукцион короче 3 месяцев и 15 дней",""))="","",TEXTJOIN(", ",TRUE,IF(B15="","Название",""),IF(C15="","Тип недвижимости",""),IF(D15="","Страна",""),IF(E15="","Город",""),IF(F15="","Улица",""),IF(I15="","Валюта",""),IF(OR(AI15="",AI15&lt;1),"Хотя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земли",""),IF(W15="","Формат долга",""),IF(OR(X15="",X15&lt;=0),"Сумма долга",""),IF(AND(W15="Долги + Аукцион",OR(Y15="",Y15&lt;=0)),"Продать сейчас",""),IF(AND(W15="Долги + Аукцион",OR(Z15="",Z15&lt;=0)),"Минимальная цена продажи",""),IF(AND(W15="Долги + Аукцион",OR(AA15="",AA15&lt;=0)),"Стартовая ставка",""),IF(AND(W15="Долги + Аукцион",AB15=""),"Начало аукциона",""),IF(AND(W15="Долги + Аукцион",AC15=""),"Окончание аукциона",""),IF(AND(W15="Долги + Аукцион",AND(Y15&lt;&gt;"",Z15&lt;&gt;"",Z15&gt;Y15)),"Минимальная цена выше «Продать сейчас»",""),IF(AND(W15="Долги + Аукцион",AND(Y15&lt;&gt;"",Z15&lt;&gt;"",Z15&lt;=Y15,Z15&gt;Y15*0.9)),"Минимальная цена выше 90% от «Продать сейчас»",""),IF(AND(W15="Долги + Аукцион",AND(Y15&lt;&gt;"",AA15&lt;&gt;"",AA15&gt;Y15*0.3)),"Стартовая ставка выше 30% от «Продать сейчас»",""),IF(AND(W15="Долги + Аукцион",AND(AB15&lt;&gt;"",AC15&lt;&gt;"",AC15&lt;EDATE(AB15,3)+15)),"Аукцион короче 3 месяцев и 15 дней",""))))</f>
        <v/>
      </c>
      <c r="AP15" s="35">
        <f>IF(NOT(COUNTA(A15:AN15)&gt;0),"",IF(TEXTJOIN(", ",TRUE,IF(AL15="","Описание",""),IF(AND(AI15&lt;&gt;"",AI15&gt;=1,AI15&lt;5),"Фото меньше 5",""),IF(AK15="","Видео",""),IF(H15="","Кадастровый номер",""),IF(AJ15="","Ссылка на фото",""),IF(OR(AD15="",AD15="Нет"),"Кредитный договор",""),IF(OR(AE15="",AE15="Нет"),"Нотариальная закладная",""),IF(OR(AF15="",AF15="Нет"),"Выписка из реестра",""),IF(OR(AG15="",AG15="Нет"),"Оценка объекта",""),IF(AH15="","Статус в суде",""))="","",TEXTJOIN(", ",TRUE,IF(AL15="","Описание",""),IF(AND(AI15&lt;&gt;"",AI15&gt;=1,AI15&lt;5),"Фото меньше 5",""),IF(AK15="","Видео",""),IF(H15="","Кадастровый номер",""),IF(AJ15="","Ссылка на фото",""),IF(OR(AD15="",AD15="Нет"),"Кредитный договор",""),IF(OR(AE15="",AE15="Нет"),"Нотариальная закладная",""),IF(OR(AF15="",AF15="Нет"),"Выписка из реестра",""),IF(OR(AG15="",AG15="Нет"),"Оценка объекта",""),IF(AH15="","Статус в суде",""))))</f>
        <v/>
      </c>
      <c r="AQ15" s="35">
        <f>IF(NOT(COUNTA(A15:AN15)&gt;0),"",IF(AO15="","Можно публиковать","Не хватает"))</f>
        <v/>
      </c>
    </row>
    <row r="16" ht="22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7" t="n"/>
      <c r="K16" s="37" t="n"/>
      <c r="L16" s="37" t="n"/>
      <c r="M16" s="38" t="n"/>
      <c r="N16" s="38" t="n"/>
      <c r="O16" s="38" t="n"/>
      <c r="P16" s="38" t="n"/>
      <c r="Q16" s="38" t="n"/>
      <c r="R16" s="38" t="n"/>
      <c r="S16" s="36" t="n"/>
      <c r="T16" s="36" t="n"/>
      <c r="U16" s="36" t="n"/>
      <c r="V16" s="36" t="n"/>
      <c r="W16" s="36" t="n"/>
      <c r="X16" s="39" t="n"/>
      <c r="Y16" s="39" t="n"/>
      <c r="Z16" s="39" t="n"/>
      <c r="AA16" s="39" t="n"/>
      <c r="AB16" s="40" t="n"/>
      <c r="AC16" s="40" t="n"/>
      <c r="AD16" s="36" t="n"/>
      <c r="AE16" s="36" t="n"/>
      <c r="AF16" s="36" t="n"/>
      <c r="AG16" s="36" t="n"/>
      <c r="AH16" s="36" t="n"/>
      <c r="AI16" s="38" t="n"/>
      <c r="AJ16" s="36" t="n"/>
      <c r="AK16" s="36" t="n"/>
      <c r="AL16" s="36" t="n"/>
      <c r="AM16" s="36" t="n"/>
      <c r="AN16" s="36" t="n"/>
      <c r="AO16" s="35">
        <f>IF(NOT(COUNTA(A16:AN16)&gt;0),"",IF(TEXTJOIN(", ",TRUE,IF(B16="","Название",""),IF(C16="","Тип недвижимости",""),IF(D16="","Страна",""),IF(E16="","Город",""),IF(F16="","Улица",""),IF(I16="","Валюта",""),IF(OR(AI16="",AI16&lt;1),"Хотя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земли",""),IF(W16="","Формат долга",""),IF(OR(X16="",X16&lt;=0),"Сумма долга",""),IF(AND(W16="Долги + Аукцион",OR(Y16="",Y16&lt;=0)),"Продать сейчас",""),IF(AND(W16="Долги + Аукцион",OR(Z16="",Z16&lt;=0)),"Минимальная цена продажи",""),IF(AND(W16="Долги + Аукцион",OR(AA16="",AA16&lt;=0)),"Стартовая ставка",""),IF(AND(W16="Долги + Аукцион",AB16=""),"Начало аукциона",""),IF(AND(W16="Долги + Аукцион",AC16=""),"Окончание аукциона",""),IF(AND(W16="Долги + Аукцион",AND(Y16&lt;&gt;"",Z16&lt;&gt;"",Z16&gt;Y16)),"Минимальная цена выше «Продать сейчас»",""),IF(AND(W16="Долги + Аукцион",AND(Y16&lt;&gt;"",Z16&lt;&gt;"",Z16&lt;=Y16,Z16&gt;Y16*0.9)),"Минимальная цена выше 90% от «Продать сейчас»",""),IF(AND(W16="Долги + Аукцион",AND(Y16&lt;&gt;"",AA16&lt;&gt;"",AA16&gt;Y16*0.3)),"Стартовая ставка выше 30% от «Продать сейчас»",""),IF(AND(W16="Долги + Аукцион",AND(AB16&lt;&gt;"",AC16&lt;&gt;"",AC16&lt;EDATE(AB16,3)+15)),"Аукцион короче 3 месяцев и 15 дней",""))="","",TEXTJOIN(", ",TRUE,IF(B16="","Название",""),IF(C16="","Тип недвижимости",""),IF(D16="","Страна",""),IF(E16="","Город",""),IF(F16="","Улица",""),IF(I16="","Валюта",""),IF(OR(AI16="",AI16&lt;1),"Хотя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земли",""),IF(W16="","Формат долга",""),IF(OR(X16="",X16&lt;=0),"Сумма долга",""),IF(AND(W16="Долги + Аукцион",OR(Y16="",Y16&lt;=0)),"Продать сейчас",""),IF(AND(W16="Долги + Аукцион",OR(Z16="",Z16&lt;=0)),"Минимальная цена продажи",""),IF(AND(W16="Долги + Аукцион",OR(AA16="",AA16&lt;=0)),"Стартовая ставка",""),IF(AND(W16="Долги + Аукцион",AB16=""),"Начало аукциона",""),IF(AND(W16="Долги + Аукцион",AC16=""),"Окончание аукциона",""),IF(AND(W16="Долги + Аукцион",AND(Y16&lt;&gt;"",Z16&lt;&gt;"",Z16&gt;Y16)),"Минимальная цена выше «Продать сейчас»",""),IF(AND(W16="Долги + Аукцион",AND(Y16&lt;&gt;"",Z16&lt;&gt;"",Z16&lt;=Y16,Z16&gt;Y16*0.9)),"Минимальная цена выше 90% от «Продать сейчас»",""),IF(AND(W16="Долги + Аукцион",AND(Y16&lt;&gt;"",AA16&lt;&gt;"",AA16&gt;Y16*0.3)),"Стартовая ставка выше 30% от «Продать сейчас»",""),IF(AND(W16="Долги + Аукцион",AND(AB16&lt;&gt;"",AC16&lt;&gt;"",AC16&lt;EDATE(AB16,3)+15)),"Аукцион короче 3 месяцев и 15 дней",""))))</f>
        <v/>
      </c>
      <c r="AP16" s="35">
        <f>IF(NOT(COUNTA(A16:AN16)&gt;0),"",IF(TEXTJOIN(", ",TRUE,IF(AL16="","Описание",""),IF(AND(AI16&lt;&gt;"",AI16&gt;=1,AI16&lt;5),"Фото меньше 5",""),IF(AK16="","Видео",""),IF(H16="","Кадастровый номер",""),IF(AJ16="","Ссылка на фото",""),IF(OR(AD16="",AD16="Нет"),"Кредитный договор",""),IF(OR(AE16="",AE16="Нет"),"Нотариальная закладная",""),IF(OR(AF16="",AF16="Нет"),"Выписка из реестра",""),IF(OR(AG16="",AG16="Нет"),"Оценка объекта",""),IF(AH16="","Статус в суде",""))="","",TEXTJOIN(", ",TRUE,IF(AL16="","Описание",""),IF(AND(AI16&lt;&gt;"",AI16&gt;=1,AI16&lt;5),"Фото меньше 5",""),IF(AK16="","Видео",""),IF(H16="","Кадастровый номер",""),IF(AJ16="","Ссылка на фото",""),IF(OR(AD16="",AD16="Нет"),"Кредитный договор",""),IF(OR(AE16="",AE16="Нет"),"Нотариальная закладная",""),IF(OR(AF16="",AF16="Нет"),"Выписка из реестра",""),IF(OR(AG16="",AG16="Нет"),"Оценка объекта",""),IF(AH16="","Статус в суде",""))))</f>
        <v/>
      </c>
      <c r="AQ16" s="35">
        <f>IF(NOT(COUNTA(A16:AN16)&gt;0),"",IF(AO16="","Можно публиковать","Не хватает"))</f>
        <v/>
      </c>
    </row>
    <row r="17" ht="22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 t="n"/>
      <c r="K17" s="31" t="n"/>
      <c r="L17" s="31" t="n"/>
      <c r="M17" s="32" t="n"/>
      <c r="N17" s="32" t="n"/>
      <c r="O17" s="32" t="n"/>
      <c r="P17" s="32" t="n"/>
      <c r="Q17" s="32" t="n"/>
      <c r="R17" s="32" t="n"/>
      <c r="S17" s="30" t="n"/>
      <c r="T17" s="30" t="n"/>
      <c r="U17" s="30" t="n"/>
      <c r="V17" s="30" t="n"/>
      <c r="W17" s="30" t="n"/>
      <c r="X17" s="33" t="n"/>
      <c r="Y17" s="33" t="n"/>
      <c r="Z17" s="33" t="n"/>
      <c r="AA17" s="33" t="n"/>
      <c r="AB17" s="34" t="n"/>
      <c r="AC17" s="34" t="n"/>
      <c r="AD17" s="30" t="n"/>
      <c r="AE17" s="30" t="n"/>
      <c r="AF17" s="30" t="n"/>
      <c r="AG17" s="30" t="n"/>
      <c r="AH17" s="30" t="n"/>
      <c r="AI17" s="32" t="n"/>
      <c r="AJ17" s="30" t="n"/>
      <c r="AK17" s="30" t="n"/>
      <c r="AL17" s="30" t="n"/>
      <c r="AM17" s="30" t="n"/>
      <c r="AN17" s="30" t="n"/>
      <c r="AO17" s="35">
        <f>IF(NOT(COUNTA(A17:AN17)&gt;0),"",IF(TEXTJOIN(", ",TRUE,IF(B17="","Название",""),IF(C17="","Тип недвижимости",""),IF(D17="","Страна",""),IF(E17="","Город",""),IF(F17="","Улица",""),IF(I17="","Валюта",""),IF(OR(AI17="",AI17&lt;1),"Хотя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земли",""),IF(W17="","Формат долга",""),IF(OR(X17="",X17&lt;=0),"Сумма долга",""),IF(AND(W17="Долги + Аукцион",OR(Y17="",Y17&lt;=0)),"Продать сейчас",""),IF(AND(W17="Долги + Аукцион",OR(Z17="",Z17&lt;=0)),"Минимальная цена продажи",""),IF(AND(W17="Долги + Аукцион",OR(AA17="",AA17&lt;=0)),"Стартовая ставка",""),IF(AND(W17="Долги + Аукцион",AB17=""),"Начало аукциона",""),IF(AND(W17="Долги + Аукцион",AC17=""),"Окончание аукциона",""),IF(AND(W17="Долги + Аукцион",AND(Y17&lt;&gt;"",Z17&lt;&gt;"",Z17&gt;Y17)),"Минимальная цена выше «Продать сейчас»",""),IF(AND(W17="Долги + Аукцион",AND(Y17&lt;&gt;"",Z17&lt;&gt;"",Z17&lt;=Y17,Z17&gt;Y17*0.9)),"Минимальная цена выше 90% от «Продать сейчас»",""),IF(AND(W17="Долги + Аукцион",AND(Y17&lt;&gt;"",AA17&lt;&gt;"",AA17&gt;Y17*0.3)),"Стартовая ставка выше 30% от «Продать сейчас»",""),IF(AND(W17="Долги + Аукцион",AND(AB17&lt;&gt;"",AC17&lt;&gt;"",AC17&lt;EDATE(AB17,3)+15)),"Аукцион короче 3 месяцев и 15 дней",""))="","",TEXTJOIN(", ",TRUE,IF(B17="","Название",""),IF(C17="","Тип недвижимости",""),IF(D17="","Страна",""),IF(E17="","Город",""),IF(F17="","Улица",""),IF(I17="","Валюта",""),IF(OR(AI17="",AI17&lt;1),"Хотя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земли",""),IF(W17="","Формат долга",""),IF(OR(X17="",X17&lt;=0),"Сумма долга",""),IF(AND(W17="Долги + Аукцион",OR(Y17="",Y17&lt;=0)),"Продать сейчас",""),IF(AND(W17="Долги + Аукцион",OR(Z17="",Z17&lt;=0)),"Минимальная цена продажи",""),IF(AND(W17="Долги + Аукцион",OR(AA17="",AA17&lt;=0)),"Стартовая ставка",""),IF(AND(W17="Долги + Аукцион",AB17=""),"Начало аукциона",""),IF(AND(W17="Долги + Аукцион",AC17=""),"Окончание аукциона",""),IF(AND(W17="Долги + Аукцион",AND(Y17&lt;&gt;"",Z17&lt;&gt;"",Z17&gt;Y17)),"Минимальная цена выше «Продать сейчас»",""),IF(AND(W17="Долги + Аукцион",AND(Y17&lt;&gt;"",Z17&lt;&gt;"",Z17&lt;=Y17,Z17&gt;Y17*0.9)),"Минимальная цена выше 90% от «Продать сейчас»",""),IF(AND(W17="Долги + Аукцион",AND(Y17&lt;&gt;"",AA17&lt;&gt;"",AA17&gt;Y17*0.3)),"Стартовая ставка выше 30% от «Продать сейчас»",""),IF(AND(W17="Долги + Аукцион",AND(AB17&lt;&gt;"",AC17&lt;&gt;"",AC17&lt;EDATE(AB17,3)+15)),"Аукцион короче 3 месяцев и 15 дней",""))))</f>
        <v/>
      </c>
      <c r="AP17" s="35">
        <f>IF(NOT(COUNTA(A17:AN17)&gt;0),"",IF(TEXTJOIN(", ",TRUE,IF(AL17="","Описание",""),IF(AND(AI17&lt;&gt;"",AI17&gt;=1,AI17&lt;5),"Фото меньше 5",""),IF(AK17="","Видео",""),IF(H17="","Кадастровый номер",""),IF(AJ17="","Ссылка на фото",""),IF(OR(AD17="",AD17="Нет"),"Кредитный договор",""),IF(OR(AE17="",AE17="Нет"),"Нотариальная закладная",""),IF(OR(AF17="",AF17="Нет"),"Выписка из реестра",""),IF(OR(AG17="",AG17="Нет"),"Оценка объекта",""),IF(AH17="","Статус в суде",""))="","",TEXTJOIN(", ",TRUE,IF(AL17="","Описание",""),IF(AND(AI17&lt;&gt;"",AI17&gt;=1,AI17&lt;5),"Фото меньше 5",""),IF(AK17="","Видео",""),IF(H17="","Кадастровый номер",""),IF(AJ17="","Ссылка на фото",""),IF(OR(AD17="",AD17="Нет"),"Кредитный договор",""),IF(OR(AE17="",AE17="Нет"),"Нотариальная закладная",""),IF(OR(AF17="",AF17="Нет"),"Выписка из реестра",""),IF(OR(AG17="",AG17="Нет"),"Оценка объекта",""),IF(AH17="","Статус в суде",""))))</f>
        <v/>
      </c>
      <c r="AQ17" s="35">
        <f>IF(NOT(COUNTA(A17:AN17)&gt;0),"",IF(AO17="","Можно публиковать","Не хватает"))</f>
        <v/>
      </c>
    </row>
    <row r="18" ht="22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7" t="n"/>
      <c r="K18" s="37" t="n"/>
      <c r="L18" s="37" t="n"/>
      <c r="M18" s="38" t="n"/>
      <c r="N18" s="38" t="n"/>
      <c r="O18" s="38" t="n"/>
      <c r="P18" s="38" t="n"/>
      <c r="Q18" s="38" t="n"/>
      <c r="R18" s="38" t="n"/>
      <c r="S18" s="36" t="n"/>
      <c r="T18" s="36" t="n"/>
      <c r="U18" s="36" t="n"/>
      <c r="V18" s="36" t="n"/>
      <c r="W18" s="36" t="n"/>
      <c r="X18" s="39" t="n"/>
      <c r="Y18" s="39" t="n"/>
      <c r="Z18" s="39" t="n"/>
      <c r="AA18" s="39" t="n"/>
      <c r="AB18" s="40" t="n"/>
      <c r="AC18" s="40" t="n"/>
      <c r="AD18" s="36" t="n"/>
      <c r="AE18" s="36" t="n"/>
      <c r="AF18" s="36" t="n"/>
      <c r="AG18" s="36" t="n"/>
      <c r="AH18" s="36" t="n"/>
      <c r="AI18" s="38" t="n"/>
      <c r="AJ18" s="36" t="n"/>
      <c r="AK18" s="36" t="n"/>
      <c r="AL18" s="36" t="n"/>
      <c r="AM18" s="36" t="n"/>
      <c r="AN18" s="36" t="n"/>
      <c r="AO18" s="35">
        <f>IF(NOT(COUNTA(A18:AN18)&gt;0),"",IF(TEXTJOIN(", ",TRUE,IF(B18="","Название",""),IF(C18="","Тип недвижимости",""),IF(D18="","Страна",""),IF(E18="","Город",""),IF(F18="","Улица",""),IF(I18="","Валюта",""),IF(OR(AI18="",AI18&lt;1),"Хотя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земли",""),IF(W18="","Формат долга",""),IF(OR(X18="",X18&lt;=0),"Сумма долга",""),IF(AND(W18="Долги + Аукцион",OR(Y18="",Y18&lt;=0)),"Продать сейчас",""),IF(AND(W18="Долги + Аукцион",OR(Z18="",Z18&lt;=0)),"Минимальная цена продажи",""),IF(AND(W18="Долги + Аукцион",OR(AA18="",AA18&lt;=0)),"Стартовая ставка",""),IF(AND(W18="Долги + Аукцион",AB18=""),"Начало аукциона",""),IF(AND(W18="Долги + Аукцион",AC18=""),"Окончание аукциона",""),IF(AND(W18="Долги + Аукцион",AND(Y18&lt;&gt;"",Z18&lt;&gt;"",Z18&gt;Y18)),"Минимальная цена выше «Продать сейчас»",""),IF(AND(W18="Долги + Аукцион",AND(Y18&lt;&gt;"",Z18&lt;&gt;"",Z18&lt;=Y18,Z18&gt;Y18*0.9)),"Минимальная цена выше 90% от «Продать сейчас»",""),IF(AND(W18="Долги + Аукцион",AND(Y18&lt;&gt;"",AA18&lt;&gt;"",AA18&gt;Y18*0.3)),"Стартовая ставка выше 30% от «Продать сейчас»",""),IF(AND(W18="Долги + Аукцион",AND(AB18&lt;&gt;"",AC18&lt;&gt;"",AC18&lt;EDATE(AB18,3)+15)),"Аукцион короче 3 месяцев и 15 дней",""))="","",TEXTJOIN(", ",TRUE,IF(B18="","Название",""),IF(C18="","Тип недвижимости",""),IF(D18="","Страна",""),IF(E18="","Город",""),IF(F18="","Улица",""),IF(I18="","Валюта",""),IF(OR(AI18="",AI18&lt;1),"Хотя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земли",""),IF(W18="","Формат долга",""),IF(OR(X18="",X18&lt;=0),"Сумма долга",""),IF(AND(W18="Долги + Аукцион",OR(Y18="",Y18&lt;=0)),"Продать сейчас",""),IF(AND(W18="Долги + Аукцион",OR(Z18="",Z18&lt;=0)),"Минимальная цена продажи",""),IF(AND(W18="Долги + Аукцион",OR(AA18="",AA18&lt;=0)),"Стартовая ставка",""),IF(AND(W18="Долги + Аукцион",AB18=""),"Начало аукциона",""),IF(AND(W18="Долги + Аукцион",AC18=""),"Окончание аукциона",""),IF(AND(W18="Долги + Аукцион",AND(Y18&lt;&gt;"",Z18&lt;&gt;"",Z18&gt;Y18)),"Минимальная цена выше «Продать сейчас»",""),IF(AND(W18="Долги + Аукцион",AND(Y18&lt;&gt;"",Z18&lt;&gt;"",Z18&lt;=Y18,Z18&gt;Y18*0.9)),"Минимальная цена выше 90% от «Продать сейчас»",""),IF(AND(W18="Долги + Аукцион",AND(Y18&lt;&gt;"",AA18&lt;&gt;"",AA18&gt;Y18*0.3)),"Стартовая ставка выше 30% от «Продать сейчас»",""),IF(AND(W18="Долги + Аукцион",AND(AB18&lt;&gt;"",AC18&lt;&gt;"",AC18&lt;EDATE(AB18,3)+15)),"Аукцион короче 3 месяцев и 15 дней",""))))</f>
        <v/>
      </c>
      <c r="AP18" s="35">
        <f>IF(NOT(COUNTA(A18:AN18)&gt;0),"",IF(TEXTJOIN(", ",TRUE,IF(AL18="","Описание",""),IF(AND(AI18&lt;&gt;"",AI18&gt;=1,AI18&lt;5),"Фото меньше 5",""),IF(AK18="","Видео",""),IF(H18="","Кадастровый номер",""),IF(AJ18="","Ссылка на фото",""),IF(OR(AD18="",AD18="Нет"),"Кредитный договор",""),IF(OR(AE18="",AE18="Нет"),"Нотариальная закладная",""),IF(OR(AF18="",AF18="Нет"),"Выписка из реестра",""),IF(OR(AG18="",AG18="Нет"),"Оценка объекта",""),IF(AH18="","Статус в суде",""))="","",TEXTJOIN(", ",TRUE,IF(AL18="","Описание",""),IF(AND(AI18&lt;&gt;"",AI18&gt;=1,AI18&lt;5),"Фото меньше 5",""),IF(AK18="","Видео",""),IF(H18="","Кадастровый номер",""),IF(AJ18="","Ссылка на фото",""),IF(OR(AD18="",AD18="Нет"),"Кредитный договор",""),IF(OR(AE18="",AE18="Нет"),"Нотариальная закладная",""),IF(OR(AF18="",AF18="Нет"),"Выписка из реестра",""),IF(OR(AG18="",AG18="Нет"),"Оценка объекта",""),IF(AH18="","Статус в суде",""))))</f>
        <v/>
      </c>
      <c r="AQ18" s="35">
        <f>IF(NOT(COUNTA(A18:AN18)&gt;0),"",IF(AO18="","Можно публиковать","Не хватает"))</f>
        <v/>
      </c>
    </row>
    <row r="19" ht="22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  <c r="K19" s="31" t="n"/>
      <c r="L19" s="31" t="n"/>
      <c r="M19" s="32" t="n"/>
      <c r="N19" s="32" t="n"/>
      <c r="O19" s="32" t="n"/>
      <c r="P19" s="32" t="n"/>
      <c r="Q19" s="32" t="n"/>
      <c r="R19" s="32" t="n"/>
      <c r="S19" s="30" t="n"/>
      <c r="T19" s="30" t="n"/>
      <c r="U19" s="30" t="n"/>
      <c r="V19" s="30" t="n"/>
      <c r="W19" s="30" t="n"/>
      <c r="X19" s="33" t="n"/>
      <c r="Y19" s="33" t="n"/>
      <c r="Z19" s="33" t="n"/>
      <c r="AA19" s="33" t="n"/>
      <c r="AB19" s="34" t="n"/>
      <c r="AC19" s="34" t="n"/>
      <c r="AD19" s="30" t="n"/>
      <c r="AE19" s="30" t="n"/>
      <c r="AF19" s="30" t="n"/>
      <c r="AG19" s="30" t="n"/>
      <c r="AH19" s="30" t="n"/>
      <c r="AI19" s="32" t="n"/>
      <c r="AJ19" s="30" t="n"/>
      <c r="AK19" s="30" t="n"/>
      <c r="AL19" s="30" t="n"/>
      <c r="AM19" s="30" t="n"/>
      <c r="AN19" s="30" t="n"/>
      <c r="AO19" s="35">
        <f>IF(NOT(COUNTA(A19:AN19)&gt;0),"",IF(TEXTJOIN(", ",TRUE,IF(B19="","Название",""),IF(C19="","Тип недвижимости",""),IF(D19="","Страна",""),IF(E19="","Город",""),IF(F19="","Улица",""),IF(I19="","Валюта",""),IF(OR(AI19="",AI19&lt;1),"Хотя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земли",""),IF(W19="","Формат долга",""),IF(OR(X19="",X19&lt;=0),"Сумма долга",""),IF(AND(W19="Долги + Аукцион",OR(Y19="",Y19&lt;=0)),"Продать сейчас",""),IF(AND(W19="Долги + Аукцион",OR(Z19="",Z19&lt;=0)),"Минимальная цена продажи",""),IF(AND(W19="Долги + Аукцион",OR(AA19="",AA19&lt;=0)),"Стартовая ставка",""),IF(AND(W19="Долги + Аукцион",AB19=""),"Начало аукциона",""),IF(AND(W19="Долги + Аукцион",AC19=""),"Окончание аукциона",""),IF(AND(W19="Долги + Аукцион",AND(Y19&lt;&gt;"",Z19&lt;&gt;"",Z19&gt;Y19)),"Минимальная цена выше «Продать сейчас»",""),IF(AND(W19="Долги + Аукцион",AND(Y19&lt;&gt;"",Z19&lt;&gt;"",Z19&lt;=Y19,Z19&gt;Y19*0.9)),"Минимальная цена выше 90% от «Продать сейчас»",""),IF(AND(W19="Долги + Аукцион",AND(Y19&lt;&gt;"",AA19&lt;&gt;"",AA19&gt;Y19*0.3)),"Стартовая ставка выше 30% от «Продать сейчас»",""),IF(AND(W19="Долги + Аукцион",AND(AB19&lt;&gt;"",AC19&lt;&gt;"",AC19&lt;EDATE(AB19,3)+15)),"Аукцион короче 3 месяцев и 15 дней",""))="","",TEXTJOIN(", ",TRUE,IF(B19="","Название",""),IF(C19="","Тип недвижимости",""),IF(D19="","Страна",""),IF(E19="","Город",""),IF(F19="","Улица",""),IF(I19="","Валюта",""),IF(OR(AI19="",AI19&lt;1),"Хотя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земли",""),IF(W19="","Формат долга",""),IF(OR(X19="",X19&lt;=0),"Сумма долга",""),IF(AND(W19="Долги + Аукцион",OR(Y19="",Y19&lt;=0)),"Продать сейчас",""),IF(AND(W19="Долги + Аукцион",OR(Z19="",Z19&lt;=0)),"Минимальная цена продажи",""),IF(AND(W19="Долги + Аукцион",OR(AA19="",AA19&lt;=0)),"Стартовая ставка",""),IF(AND(W19="Долги + Аукцион",AB19=""),"Начало аукциона",""),IF(AND(W19="Долги + Аукцион",AC19=""),"Окончание аукциона",""),IF(AND(W19="Долги + Аукцион",AND(Y19&lt;&gt;"",Z19&lt;&gt;"",Z19&gt;Y19)),"Минимальная цена выше «Продать сейчас»",""),IF(AND(W19="Долги + Аукцион",AND(Y19&lt;&gt;"",Z19&lt;&gt;"",Z19&lt;=Y19,Z19&gt;Y19*0.9)),"Минимальная цена выше 90% от «Продать сейчас»",""),IF(AND(W19="Долги + Аукцион",AND(Y19&lt;&gt;"",AA19&lt;&gt;"",AA19&gt;Y19*0.3)),"Стартовая ставка выше 30% от «Продать сейчас»",""),IF(AND(W19="Долги + Аукцион",AND(AB19&lt;&gt;"",AC19&lt;&gt;"",AC19&lt;EDATE(AB19,3)+15)),"Аукцион короче 3 месяцев и 15 дней",""))))</f>
        <v/>
      </c>
      <c r="AP19" s="35">
        <f>IF(NOT(COUNTA(A19:AN19)&gt;0),"",IF(TEXTJOIN(", ",TRUE,IF(AL19="","Описание",""),IF(AND(AI19&lt;&gt;"",AI19&gt;=1,AI19&lt;5),"Фото меньше 5",""),IF(AK19="","Видео",""),IF(H19="","Кадастровый номер",""),IF(AJ19="","Ссылка на фото",""),IF(OR(AD19="",AD19="Нет"),"Кредитный договор",""),IF(OR(AE19="",AE19="Нет"),"Нотариальная закладная",""),IF(OR(AF19="",AF19="Нет"),"Выписка из реестра",""),IF(OR(AG19="",AG19="Нет"),"Оценка объекта",""),IF(AH19="","Статус в суде",""))="","",TEXTJOIN(", ",TRUE,IF(AL19="","Описание",""),IF(AND(AI19&lt;&gt;"",AI19&gt;=1,AI19&lt;5),"Фото меньше 5",""),IF(AK19="","Видео",""),IF(H19="","Кадастровый номер",""),IF(AJ19="","Ссылка на фото",""),IF(OR(AD19="",AD19="Нет"),"Кредитный договор",""),IF(OR(AE19="",AE19="Нет"),"Нотариальная закладная",""),IF(OR(AF19="",AF19="Нет"),"Выписка из реестра",""),IF(OR(AG19="",AG19="Нет"),"Оценка объекта",""),IF(AH19="","Статус в суде",""))))</f>
        <v/>
      </c>
      <c r="AQ19" s="35">
        <f>IF(NOT(COUNTA(A19:AN19)&gt;0),"",IF(AO19="","Можно публиковать","Не хватает"))</f>
        <v/>
      </c>
    </row>
    <row r="20" ht="22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7" t="n"/>
      <c r="K20" s="37" t="n"/>
      <c r="L20" s="37" t="n"/>
      <c r="M20" s="38" t="n"/>
      <c r="N20" s="38" t="n"/>
      <c r="O20" s="38" t="n"/>
      <c r="P20" s="38" t="n"/>
      <c r="Q20" s="38" t="n"/>
      <c r="R20" s="38" t="n"/>
      <c r="S20" s="36" t="n"/>
      <c r="T20" s="36" t="n"/>
      <c r="U20" s="36" t="n"/>
      <c r="V20" s="36" t="n"/>
      <c r="W20" s="36" t="n"/>
      <c r="X20" s="39" t="n"/>
      <c r="Y20" s="39" t="n"/>
      <c r="Z20" s="39" t="n"/>
      <c r="AA20" s="39" t="n"/>
      <c r="AB20" s="40" t="n"/>
      <c r="AC20" s="40" t="n"/>
      <c r="AD20" s="36" t="n"/>
      <c r="AE20" s="36" t="n"/>
      <c r="AF20" s="36" t="n"/>
      <c r="AG20" s="36" t="n"/>
      <c r="AH20" s="36" t="n"/>
      <c r="AI20" s="38" t="n"/>
      <c r="AJ20" s="36" t="n"/>
      <c r="AK20" s="36" t="n"/>
      <c r="AL20" s="36" t="n"/>
      <c r="AM20" s="36" t="n"/>
      <c r="AN20" s="36" t="n"/>
      <c r="AO20" s="35">
        <f>IF(NOT(COUNTA(A20:AN20)&gt;0),"",IF(TEXTJOIN(", ",TRUE,IF(B20="","Название",""),IF(C20="","Тип недвижимости",""),IF(D20="","Страна",""),IF(E20="","Город",""),IF(F20="","Улица",""),IF(I20="","Валюта",""),IF(OR(AI20="",AI20&lt;1),"Хотя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земли",""),IF(W20="","Формат долга",""),IF(OR(X20="",X20&lt;=0),"Сумма долга",""),IF(AND(W20="Долги + Аукцион",OR(Y20="",Y20&lt;=0)),"Продать сейчас",""),IF(AND(W20="Долги + Аукцион",OR(Z20="",Z20&lt;=0)),"Минимальная цена продажи",""),IF(AND(W20="Долги + Аукцион",OR(AA20="",AA20&lt;=0)),"Стартовая ставка",""),IF(AND(W20="Долги + Аукцион",AB20=""),"Начало аукциона",""),IF(AND(W20="Долги + Аукцион",AC20=""),"Окончание аукциона",""),IF(AND(W20="Долги + Аукцион",AND(Y20&lt;&gt;"",Z20&lt;&gt;"",Z20&gt;Y20)),"Минимальная цена выше «Продать сейчас»",""),IF(AND(W20="Долги + Аукцион",AND(Y20&lt;&gt;"",Z20&lt;&gt;"",Z20&lt;=Y20,Z20&gt;Y20*0.9)),"Минимальная цена выше 90% от «Продать сейчас»",""),IF(AND(W20="Долги + Аукцион",AND(Y20&lt;&gt;"",AA20&lt;&gt;"",AA20&gt;Y20*0.3)),"Стартовая ставка выше 30% от «Продать сейчас»",""),IF(AND(W20="Долги + Аукцион",AND(AB20&lt;&gt;"",AC20&lt;&gt;"",AC20&lt;EDATE(AB20,3)+15)),"Аукцион короче 3 месяцев и 15 дней",""))="","",TEXTJOIN(", ",TRUE,IF(B20="","Название",""),IF(C20="","Тип недвижимости",""),IF(D20="","Страна",""),IF(E20="","Город",""),IF(F20="","Улица",""),IF(I20="","Валюта",""),IF(OR(AI20="",AI20&lt;1),"Хотя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земли",""),IF(W20="","Формат долга",""),IF(OR(X20="",X20&lt;=0),"Сумма долга",""),IF(AND(W20="Долги + Аукцион",OR(Y20="",Y20&lt;=0)),"Продать сейчас",""),IF(AND(W20="Долги + Аукцион",OR(Z20="",Z20&lt;=0)),"Минимальная цена продажи",""),IF(AND(W20="Долги + Аукцион",OR(AA20="",AA20&lt;=0)),"Стартовая ставка",""),IF(AND(W20="Долги + Аукцион",AB20=""),"Начало аукциона",""),IF(AND(W20="Долги + Аукцион",AC20=""),"Окончание аукциона",""),IF(AND(W20="Долги + Аукцион",AND(Y20&lt;&gt;"",Z20&lt;&gt;"",Z20&gt;Y20)),"Минимальная цена выше «Продать сейчас»",""),IF(AND(W20="Долги + Аукцион",AND(Y20&lt;&gt;"",Z20&lt;&gt;"",Z20&lt;=Y20,Z20&gt;Y20*0.9)),"Минимальная цена выше 90% от «Продать сейчас»",""),IF(AND(W20="Долги + Аукцион",AND(Y20&lt;&gt;"",AA20&lt;&gt;"",AA20&gt;Y20*0.3)),"Стартовая ставка выше 30% от «Продать сейчас»",""),IF(AND(W20="Долги + Аукцион",AND(AB20&lt;&gt;"",AC20&lt;&gt;"",AC20&lt;EDATE(AB20,3)+15)),"Аукцион короче 3 месяцев и 15 дней",""))))</f>
        <v/>
      </c>
      <c r="AP20" s="35">
        <f>IF(NOT(COUNTA(A20:AN20)&gt;0),"",IF(TEXTJOIN(", ",TRUE,IF(AL20="","Описание",""),IF(AND(AI20&lt;&gt;"",AI20&gt;=1,AI20&lt;5),"Фото меньше 5",""),IF(AK20="","Видео",""),IF(H20="","Кадастровый номер",""),IF(AJ20="","Ссылка на фото",""),IF(OR(AD20="",AD20="Нет"),"Кредитный договор",""),IF(OR(AE20="",AE20="Нет"),"Нотариальная закладная",""),IF(OR(AF20="",AF20="Нет"),"Выписка из реестра",""),IF(OR(AG20="",AG20="Нет"),"Оценка объекта",""),IF(AH20="","Статус в суде",""))="","",TEXTJOIN(", ",TRUE,IF(AL20="","Описание",""),IF(AND(AI20&lt;&gt;"",AI20&gt;=1,AI20&lt;5),"Фото меньше 5",""),IF(AK20="","Видео",""),IF(H20="","Кадастровый номер",""),IF(AJ20="","Ссылка на фото",""),IF(OR(AD20="",AD20="Нет"),"Кредитный договор",""),IF(OR(AE20="",AE20="Нет"),"Нотариальная закладная",""),IF(OR(AF20="",AF20="Нет"),"Выписка из реестра",""),IF(OR(AG20="",AG20="Нет"),"Оценка объекта",""),IF(AH20="","Статус в суде",""))))</f>
        <v/>
      </c>
      <c r="AQ20" s="35">
        <f>IF(NOT(COUNTA(A20:AN20)&gt;0),"",IF(AO20="","Можно публиковать","Не хватает"))</f>
        <v/>
      </c>
    </row>
    <row r="21" ht="2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 t="n"/>
      <c r="K21" s="31" t="n"/>
      <c r="L21" s="31" t="n"/>
      <c r="M21" s="32" t="n"/>
      <c r="N21" s="32" t="n"/>
      <c r="O21" s="32" t="n"/>
      <c r="P21" s="32" t="n"/>
      <c r="Q21" s="32" t="n"/>
      <c r="R21" s="32" t="n"/>
      <c r="S21" s="30" t="n"/>
      <c r="T21" s="30" t="n"/>
      <c r="U21" s="30" t="n"/>
      <c r="V21" s="30" t="n"/>
      <c r="W21" s="30" t="n"/>
      <c r="X21" s="33" t="n"/>
      <c r="Y21" s="33" t="n"/>
      <c r="Z21" s="33" t="n"/>
      <c r="AA21" s="33" t="n"/>
      <c r="AB21" s="34" t="n"/>
      <c r="AC21" s="34" t="n"/>
      <c r="AD21" s="30" t="n"/>
      <c r="AE21" s="30" t="n"/>
      <c r="AF21" s="30" t="n"/>
      <c r="AG21" s="30" t="n"/>
      <c r="AH21" s="30" t="n"/>
      <c r="AI21" s="32" t="n"/>
      <c r="AJ21" s="30" t="n"/>
      <c r="AK21" s="30" t="n"/>
      <c r="AL21" s="30" t="n"/>
      <c r="AM21" s="30" t="n"/>
      <c r="AN21" s="30" t="n"/>
      <c r="AO21" s="35">
        <f>IF(NOT(COUNTA(A21:AN21)&gt;0),"",IF(TEXTJOIN(", ",TRUE,IF(B21="","Название",""),IF(C21="","Тип недвижимости",""),IF(D21="","Страна",""),IF(E21="","Город",""),IF(F21="","Улица",""),IF(I21="","Валюта",""),IF(OR(AI21="",AI21&lt;1),"Хотя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земли",""),IF(W21="","Формат долга",""),IF(OR(X21="",X21&lt;=0),"Сумма долга",""),IF(AND(W21="Долги + Аукцион",OR(Y21="",Y21&lt;=0)),"Продать сейчас",""),IF(AND(W21="Долги + Аукцион",OR(Z21="",Z21&lt;=0)),"Минимальная цена продажи",""),IF(AND(W21="Долги + Аукцион",OR(AA21="",AA21&lt;=0)),"Стартовая ставка",""),IF(AND(W21="Долги + Аукцион",AB21=""),"Начало аукциона",""),IF(AND(W21="Долги + Аукцион",AC21=""),"Окончание аукциона",""),IF(AND(W21="Долги + Аукцион",AND(Y21&lt;&gt;"",Z21&lt;&gt;"",Z21&gt;Y21)),"Минимальная цена выше «Продать сейчас»",""),IF(AND(W21="Долги + Аукцион",AND(Y21&lt;&gt;"",Z21&lt;&gt;"",Z21&lt;=Y21,Z21&gt;Y21*0.9)),"Минимальная цена выше 90% от «Продать сейчас»",""),IF(AND(W21="Долги + Аукцион",AND(Y21&lt;&gt;"",AA21&lt;&gt;"",AA21&gt;Y21*0.3)),"Стартовая ставка выше 30% от «Продать сейчас»",""),IF(AND(W21="Долги + Аукцион",AND(AB21&lt;&gt;"",AC21&lt;&gt;"",AC21&lt;EDATE(AB21,3)+15)),"Аукцион короче 3 месяцев и 15 дней",""))="","",TEXTJOIN(", ",TRUE,IF(B21="","Название",""),IF(C21="","Тип недвижимости",""),IF(D21="","Страна",""),IF(E21="","Город",""),IF(F21="","Улица",""),IF(I21="","Валюта",""),IF(OR(AI21="",AI21&lt;1),"Хотя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земли",""),IF(W21="","Формат долга",""),IF(OR(X21="",X21&lt;=0),"Сумма долга",""),IF(AND(W21="Долги + Аукцион",OR(Y21="",Y21&lt;=0)),"Продать сейчас",""),IF(AND(W21="Долги + Аукцион",OR(Z21="",Z21&lt;=0)),"Минимальная цена продажи",""),IF(AND(W21="Долги + Аукцион",OR(AA21="",AA21&lt;=0)),"Стартовая ставка",""),IF(AND(W21="Долги + Аукцион",AB21=""),"Начало аукциона",""),IF(AND(W21="Долги + Аукцион",AC21=""),"Окончание аукциона",""),IF(AND(W21="Долги + Аукцион",AND(Y21&lt;&gt;"",Z21&lt;&gt;"",Z21&gt;Y21)),"Минимальная цена выше «Продать сейчас»",""),IF(AND(W21="Долги + Аукцион",AND(Y21&lt;&gt;"",Z21&lt;&gt;"",Z21&lt;=Y21,Z21&gt;Y21*0.9)),"Минимальная цена выше 90% от «Продать сейчас»",""),IF(AND(W21="Долги + Аукцион",AND(Y21&lt;&gt;"",AA21&lt;&gt;"",AA21&gt;Y21*0.3)),"Стартовая ставка выше 30% от «Продать сейчас»",""),IF(AND(W21="Долги + Аукцион",AND(AB21&lt;&gt;"",AC21&lt;&gt;"",AC21&lt;EDATE(AB21,3)+15)),"Аукцион короче 3 месяцев и 15 дней",""))))</f>
        <v/>
      </c>
      <c r="AP21" s="35">
        <f>IF(NOT(COUNTA(A21:AN21)&gt;0),"",IF(TEXTJOIN(", ",TRUE,IF(AL21="","Описание",""),IF(AND(AI21&lt;&gt;"",AI21&gt;=1,AI21&lt;5),"Фото меньше 5",""),IF(AK21="","Видео",""),IF(H21="","Кадастровый номер",""),IF(AJ21="","Ссылка на фото",""),IF(OR(AD21="",AD21="Нет"),"Кредитный договор",""),IF(OR(AE21="",AE21="Нет"),"Нотариальная закладная",""),IF(OR(AF21="",AF21="Нет"),"Выписка из реестра",""),IF(OR(AG21="",AG21="Нет"),"Оценка объекта",""),IF(AH21="","Статус в суде",""))="","",TEXTJOIN(", ",TRUE,IF(AL21="","Описание",""),IF(AND(AI21&lt;&gt;"",AI21&gt;=1,AI21&lt;5),"Фото меньше 5",""),IF(AK21="","Видео",""),IF(H21="","Кадастровый номер",""),IF(AJ21="","Ссылка на фото",""),IF(OR(AD21="",AD21="Нет"),"Кредитный договор",""),IF(OR(AE21="",AE21="Нет"),"Нотариальная закладная",""),IF(OR(AF21="",AF21="Нет"),"Выписка из реестра",""),IF(OR(AG21="",AG21="Нет"),"Оценка объекта",""),IF(AH21="","Статус в суде",""))))</f>
        <v/>
      </c>
      <c r="AQ21" s="35">
        <f>IF(NOT(COUNTA(A21:AN21)&gt;0),"",IF(AO21="","Можно публиковать","Не хватает"))</f>
        <v/>
      </c>
    </row>
    <row r="22" ht="22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7" t="n"/>
      <c r="K22" s="37" t="n"/>
      <c r="L22" s="37" t="n"/>
      <c r="M22" s="38" t="n"/>
      <c r="N22" s="38" t="n"/>
      <c r="O22" s="38" t="n"/>
      <c r="P22" s="38" t="n"/>
      <c r="Q22" s="38" t="n"/>
      <c r="R22" s="38" t="n"/>
      <c r="S22" s="36" t="n"/>
      <c r="T22" s="36" t="n"/>
      <c r="U22" s="36" t="n"/>
      <c r="V22" s="36" t="n"/>
      <c r="W22" s="36" t="n"/>
      <c r="X22" s="39" t="n"/>
      <c r="Y22" s="39" t="n"/>
      <c r="Z22" s="39" t="n"/>
      <c r="AA22" s="39" t="n"/>
      <c r="AB22" s="40" t="n"/>
      <c r="AC22" s="40" t="n"/>
      <c r="AD22" s="36" t="n"/>
      <c r="AE22" s="36" t="n"/>
      <c r="AF22" s="36" t="n"/>
      <c r="AG22" s="36" t="n"/>
      <c r="AH22" s="36" t="n"/>
      <c r="AI22" s="38" t="n"/>
      <c r="AJ22" s="36" t="n"/>
      <c r="AK22" s="36" t="n"/>
      <c r="AL22" s="36" t="n"/>
      <c r="AM22" s="36" t="n"/>
      <c r="AN22" s="36" t="n"/>
      <c r="AO22" s="35">
        <f>IF(NOT(COUNTA(A22:AN22)&gt;0),"",IF(TEXTJOIN(", ",TRUE,IF(B22="","Название",""),IF(C22="","Тип недвижимости",""),IF(D22="","Страна",""),IF(E22="","Город",""),IF(F22="","Улица",""),IF(I22="","Валюта",""),IF(OR(AI22="",AI22&lt;1),"Хотя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земли",""),IF(W22="","Формат долга",""),IF(OR(X22="",X22&lt;=0),"Сумма долга",""),IF(AND(W22="Долги + Аукцион",OR(Y22="",Y22&lt;=0)),"Продать сейчас",""),IF(AND(W22="Долги + Аукцион",OR(Z22="",Z22&lt;=0)),"Минимальная цена продажи",""),IF(AND(W22="Долги + Аукцион",OR(AA22="",AA22&lt;=0)),"Стартовая ставка",""),IF(AND(W22="Долги + Аукцион",AB22=""),"Начало аукциона",""),IF(AND(W22="Долги + Аукцион",AC22=""),"Окончание аукциона",""),IF(AND(W22="Долги + Аукцион",AND(Y22&lt;&gt;"",Z22&lt;&gt;"",Z22&gt;Y22)),"Минимальная цена выше «Продать сейчас»",""),IF(AND(W22="Долги + Аукцион",AND(Y22&lt;&gt;"",Z22&lt;&gt;"",Z22&lt;=Y22,Z22&gt;Y22*0.9)),"Минимальная цена выше 90% от «Продать сейчас»",""),IF(AND(W22="Долги + Аукцион",AND(Y22&lt;&gt;"",AA22&lt;&gt;"",AA22&gt;Y22*0.3)),"Стартовая ставка выше 30% от «Продать сейчас»",""),IF(AND(W22="Долги + Аукцион",AND(AB22&lt;&gt;"",AC22&lt;&gt;"",AC22&lt;EDATE(AB22,3)+15)),"Аукцион короче 3 месяцев и 15 дней",""))="","",TEXTJOIN(", ",TRUE,IF(B22="","Название",""),IF(C22="","Тип недвижимости",""),IF(D22="","Страна",""),IF(E22="","Город",""),IF(F22="","Улица",""),IF(I22="","Валюта",""),IF(OR(AI22="",AI22&lt;1),"Хотя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земли",""),IF(W22="","Формат долга",""),IF(OR(X22="",X22&lt;=0),"Сумма долга",""),IF(AND(W22="Долги + Аукцион",OR(Y22="",Y22&lt;=0)),"Продать сейчас",""),IF(AND(W22="Долги + Аукцион",OR(Z22="",Z22&lt;=0)),"Минимальная цена продажи",""),IF(AND(W22="Долги + Аукцион",OR(AA22="",AA22&lt;=0)),"Стартовая ставка",""),IF(AND(W22="Долги + Аукцион",AB22=""),"Начало аукциона",""),IF(AND(W22="Долги + Аукцион",AC22=""),"Окончание аукциона",""),IF(AND(W22="Долги + Аукцион",AND(Y22&lt;&gt;"",Z22&lt;&gt;"",Z22&gt;Y22)),"Минимальная цена выше «Продать сейчас»",""),IF(AND(W22="Долги + Аукцион",AND(Y22&lt;&gt;"",Z22&lt;&gt;"",Z22&lt;=Y22,Z22&gt;Y22*0.9)),"Минимальная цена выше 90% от «Продать сейчас»",""),IF(AND(W22="Долги + Аукцион",AND(Y22&lt;&gt;"",AA22&lt;&gt;"",AA22&gt;Y22*0.3)),"Стартовая ставка выше 30% от «Продать сейчас»",""),IF(AND(W22="Долги + Аукцион",AND(AB22&lt;&gt;"",AC22&lt;&gt;"",AC22&lt;EDATE(AB22,3)+15)),"Аукцион короче 3 месяцев и 15 дней",""))))</f>
        <v/>
      </c>
      <c r="AP22" s="35">
        <f>IF(NOT(COUNTA(A22:AN22)&gt;0),"",IF(TEXTJOIN(", ",TRUE,IF(AL22="","Описание",""),IF(AND(AI22&lt;&gt;"",AI22&gt;=1,AI22&lt;5),"Фото меньше 5",""),IF(AK22="","Видео",""),IF(H22="","Кадастровый номер",""),IF(AJ22="","Ссылка на фото",""),IF(OR(AD22="",AD22="Нет"),"Кредитный договор",""),IF(OR(AE22="",AE22="Нет"),"Нотариальная закладная",""),IF(OR(AF22="",AF22="Нет"),"Выписка из реестра",""),IF(OR(AG22="",AG22="Нет"),"Оценка объекта",""),IF(AH22="","Статус в суде",""))="","",TEXTJOIN(", ",TRUE,IF(AL22="","Описание",""),IF(AND(AI22&lt;&gt;"",AI22&gt;=1,AI22&lt;5),"Фото меньше 5",""),IF(AK22="","Видео",""),IF(H22="","Кадастровый номер",""),IF(AJ22="","Ссылка на фото",""),IF(OR(AD22="",AD22="Нет"),"Кредитный договор",""),IF(OR(AE22="",AE22="Нет"),"Нотариальная закладная",""),IF(OR(AF22="",AF22="Нет"),"Выписка из реестра",""),IF(OR(AG22="",AG22="Нет"),"Оценка объекта",""),IF(AH22="","Статус в суде",""))))</f>
        <v/>
      </c>
      <c r="AQ22" s="35">
        <f>IF(NOT(COUNTA(A22:AN22)&gt;0),"",IF(AO22="","Можно публиковать","Не хватает"))</f>
        <v/>
      </c>
    </row>
    <row r="23" ht="2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 t="n"/>
      <c r="K23" s="31" t="n"/>
      <c r="L23" s="31" t="n"/>
      <c r="M23" s="32" t="n"/>
      <c r="N23" s="32" t="n"/>
      <c r="O23" s="32" t="n"/>
      <c r="P23" s="32" t="n"/>
      <c r="Q23" s="32" t="n"/>
      <c r="R23" s="32" t="n"/>
      <c r="S23" s="30" t="n"/>
      <c r="T23" s="30" t="n"/>
      <c r="U23" s="30" t="n"/>
      <c r="V23" s="30" t="n"/>
      <c r="W23" s="30" t="n"/>
      <c r="X23" s="33" t="n"/>
      <c r="Y23" s="33" t="n"/>
      <c r="Z23" s="33" t="n"/>
      <c r="AA23" s="33" t="n"/>
      <c r="AB23" s="34" t="n"/>
      <c r="AC23" s="34" t="n"/>
      <c r="AD23" s="30" t="n"/>
      <c r="AE23" s="30" t="n"/>
      <c r="AF23" s="30" t="n"/>
      <c r="AG23" s="30" t="n"/>
      <c r="AH23" s="30" t="n"/>
      <c r="AI23" s="32" t="n"/>
      <c r="AJ23" s="30" t="n"/>
      <c r="AK23" s="30" t="n"/>
      <c r="AL23" s="30" t="n"/>
      <c r="AM23" s="30" t="n"/>
      <c r="AN23" s="30" t="n"/>
      <c r="AO23" s="35">
        <f>IF(NOT(COUNTA(A23:AN23)&gt;0),"",IF(TEXTJOIN(", ",TRUE,IF(B23="","Название",""),IF(C23="","Тип недвижимости",""),IF(D23="","Страна",""),IF(E23="","Город",""),IF(F23="","Улица",""),IF(I23="","Валюта",""),IF(OR(AI23="",AI23&lt;1),"Хотя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земли",""),IF(W23="","Формат долга",""),IF(OR(X23="",X23&lt;=0),"Сумма долга",""),IF(AND(W23="Долги + Аукцион",OR(Y23="",Y23&lt;=0)),"Продать сейчас",""),IF(AND(W23="Долги + Аукцион",OR(Z23="",Z23&lt;=0)),"Минимальная цена продажи",""),IF(AND(W23="Долги + Аукцион",OR(AA23="",AA23&lt;=0)),"Стартовая ставка",""),IF(AND(W23="Долги + Аукцион",AB23=""),"Начало аукциона",""),IF(AND(W23="Долги + Аукцион",AC23=""),"Окончание аукциона",""),IF(AND(W23="Долги + Аукцион",AND(Y23&lt;&gt;"",Z23&lt;&gt;"",Z23&gt;Y23)),"Минимальная цена выше «Продать сейчас»",""),IF(AND(W23="Долги + Аукцион",AND(Y23&lt;&gt;"",Z23&lt;&gt;"",Z23&lt;=Y23,Z23&gt;Y23*0.9)),"Минимальная цена выше 90% от «Продать сейчас»",""),IF(AND(W23="Долги + Аукцион",AND(Y23&lt;&gt;"",AA23&lt;&gt;"",AA23&gt;Y23*0.3)),"Стартовая ставка выше 30% от «Продать сейчас»",""),IF(AND(W23="Долги + Аукцион",AND(AB23&lt;&gt;"",AC23&lt;&gt;"",AC23&lt;EDATE(AB23,3)+15)),"Аукцион короче 3 месяцев и 15 дней",""))="","",TEXTJOIN(", ",TRUE,IF(B23="","Название",""),IF(C23="","Тип недвижимости",""),IF(D23="","Страна",""),IF(E23="","Город",""),IF(F23="","Улица",""),IF(I23="","Валюта",""),IF(OR(AI23="",AI23&lt;1),"Хотя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земли",""),IF(W23="","Формат долга",""),IF(OR(X23="",X23&lt;=0),"Сумма долга",""),IF(AND(W23="Долги + Аукцион",OR(Y23="",Y23&lt;=0)),"Продать сейчас",""),IF(AND(W23="Долги + Аукцион",OR(Z23="",Z23&lt;=0)),"Минимальная цена продажи",""),IF(AND(W23="Долги + Аукцион",OR(AA23="",AA23&lt;=0)),"Стартовая ставка",""),IF(AND(W23="Долги + Аукцион",AB23=""),"Начало аукциона",""),IF(AND(W23="Долги + Аукцион",AC23=""),"Окончание аукциона",""),IF(AND(W23="Долги + Аукцион",AND(Y23&lt;&gt;"",Z23&lt;&gt;"",Z23&gt;Y23)),"Минимальная цена выше «Продать сейчас»",""),IF(AND(W23="Долги + Аукцион",AND(Y23&lt;&gt;"",Z23&lt;&gt;"",Z23&lt;=Y23,Z23&gt;Y23*0.9)),"Минимальная цена выше 90% от «Продать сейчас»",""),IF(AND(W23="Долги + Аукцион",AND(Y23&lt;&gt;"",AA23&lt;&gt;"",AA23&gt;Y23*0.3)),"Стартовая ставка выше 30% от «Продать сейчас»",""),IF(AND(W23="Долги + Аукцион",AND(AB23&lt;&gt;"",AC23&lt;&gt;"",AC23&lt;EDATE(AB23,3)+15)),"Аукцион короче 3 месяцев и 15 дней",""))))</f>
        <v/>
      </c>
      <c r="AP23" s="35">
        <f>IF(NOT(COUNTA(A23:AN23)&gt;0),"",IF(TEXTJOIN(", ",TRUE,IF(AL23="","Описание",""),IF(AND(AI23&lt;&gt;"",AI23&gt;=1,AI23&lt;5),"Фото меньше 5",""),IF(AK23="","Видео",""),IF(H23="","Кадастровый номер",""),IF(AJ23="","Ссылка на фото",""),IF(OR(AD23="",AD23="Нет"),"Кредитный договор",""),IF(OR(AE23="",AE23="Нет"),"Нотариальная закладная",""),IF(OR(AF23="",AF23="Нет"),"Выписка из реестра",""),IF(OR(AG23="",AG23="Нет"),"Оценка объекта",""),IF(AH23="","Статус в суде",""))="","",TEXTJOIN(", ",TRUE,IF(AL23="","Описание",""),IF(AND(AI23&lt;&gt;"",AI23&gt;=1,AI23&lt;5),"Фото меньше 5",""),IF(AK23="","Видео",""),IF(H23="","Кадастровый номер",""),IF(AJ23="","Ссылка на фото",""),IF(OR(AD23="",AD23="Нет"),"Кредитный договор",""),IF(OR(AE23="",AE23="Нет"),"Нотариальная закладная",""),IF(OR(AF23="",AF23="Нет"),"Выписка из реестра",""),IF(OR(AG23="",AG23="Нет"),"Оценка объекта",""),IF(AH23="","Статус в суде",""))))</f>
        <v/>
      </c>
      <c r="AQ23" s="35">
        <f>IF(NOT(COUNTA(A23:AN23)&gt;0),"",IF(AO23="","Можно публиковать","Не хватает"))</f>
        <v/>
      </c>
    </row>
    <row r="24" ht="22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7" t="n"/>
      <c r="K24" s="37" t="n"/>
      <c r="L24" s="37" t="n"/>
      <c r="M24" s="38" t="n"/>
      <c r="N24" s="38" t="n"/>
      <c r="O24" s="38" t="n"/>
      <c r="P24" s="38" t="n"/>
      <c r="Q24" s="38" t="n"/>
      <c r="R24" s="38" t="n"/>
      <c r="S24" s="36" t="n"/>
      <c r="T24" s="36" t="n"/>
      <c r="U24" s="36" t="n"/>
      <c r="V24" s="36" t="n"/>
      <c r="W24" s="36" t="n"/>
      <c r="X24" s="39" t="n"/>
      <c r="Y24" s="39" t="n"/>
      <c r="Z24" s="39" t="n"/>
      <c r="AA24" s="39" t="n"/>
      <c r="AB24" s="40" t="n"/>
      <c r="AC24" s="40" t="n"/>
      <c r="AD24" s="36" t="n"/>
      <c r="AE24" s="36" t="n"/>
      <c r="AF24" s="36" t="n"/>
      <c r="AG24" s="36" t="n"/>
      <c r="AH24" s="36" t="n"/>
      <c r="AI24" s="38" t="n"/>
      <c r="AJ24" s="36" t="n"/>
      <c r="AK24" s="36" t="n"/>
      <c r="AL24" s="36" t="n"/>
      <c r="AM24" s="36" t="n"/>
      <c r="AN24" s="36" t="n"/>
      <c r="AO24" s="35">
        <f>IF(NOT(COUNTA(A24:AN24)&gt;0),"",IF(TEXTJOIN(", ",TRUE,IF(B24="","Название",""),IF(C24="","Тип недвижимости",""),IF(D24="","Страна",""),IF(E24="","Город",""),IF(F24="","Улица",""),IF(I24="","Валюта",""),IF(OR(AI24="",AI24&lt;1),"Хотя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земли",""),IF(W24="","Формат долга",""),IF(OR(X24="",X24&lt;=0),"Сумма долга",""),IF(AND(W24="Долги + Аукцион",OR(Y24="",Y24&lt;=0)),"Продать сейчас",""),IF(AND(W24="Долги + Аукцион",OR(Z24="",Z24&lt;=0)),"Минимальная цена продажи",""),IF(AND(W24="Долги + Аукцион",OR(AA24="",AA24&lt;=0)),"Стартовая ставка",""),IF(AND(W24="Долги + Аукцион",AB24=""),"Начало аукциона",""),IF(AND(W24="Долги + Аукцион",AC24=""),"Окончание аукциона",""),IF(AND(W24="Долги + Аукцион",AND(Y24&lt;&gt;"",Z24&lt;&gt;"",Z24&gt;Y24)),"Минимальная цена выше «Продать сейчас»",""),IF(AND(W24="Долги + Аукцион",AND(Y24&lt;&gt;"",Z24&lt;&gt;"",Z24&lt;=Y24,Z24&gt;Y24*0.9)),"Минимальная цена выше 90% от «Продать сейчас»",""),IF(AND(W24="Долги + Аукцион",AND(Y24&lt;&gt;"",AA24&lt;&gt;"",AA24&gt;Y24*0.3)),"Стартовая ставка выше 30% от «Продать сейчас»",""),IF(AND(W24="Долги + Аукцион",AND(AB24&lt;&gt;"",AC24&lt;&gt;"",AC24&lt;EDATE(AB24,3)+15)),"Аукцион короче 3 месяцев и 15 дней",""))="","",TEXTJOIN(", ",TRUE,IF(B24="","Название",""),IF(C24="","Тип недвижимости",""),IF(D24="","Страна",""),IF(E24="","Город",""),IF(F24="","Улица",""),IF(I24="","Валюта",""),IF(OR(AI24="",AI24&lt;1),"Хотя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земли",""),IF(W24="","Формат долга",""),IF(OR(X24="",X24&lt;=0),"Сумма долга",""),IF(AND(W24="Долги + Аукцион",OR(Y24="",Y24&lt;=0)),"Продать сейчас",""),IF(AND(W24="Долги + Аукцион",OR(Z24="",Z24&lt;=0)),"Минимальная цена продажи",""),IF(AND(W24="Долги + Аукцион",OR(AA24="",AA24&lt;=0)),"Стартовая ставка",""),IF(AND(W24="Долги + Аукцион",AB24=""),"Начало аукциона",""),IF(AND(W24="Долги + Аукцион",AC24=""),"Окончание аукциона",""),IF(AND(W24="Долги + Аукцион",AND(Y24&lt;&gt;"",Z24&lt;&gt;"",Z24&gt;Y24)),"Минимальная цена выше «Продать сейчас»",""),IF(AND(W24="Долги + Аукцион",AND(Y24&lt;&gt;"",Z24&lt;&gt;"",Z24&lt;=Y24,Z24&gt;Y24*0.9)),"Минимальная цена выше 90% от «Продать сейчас»",""),IF(AND(W24="Долги + Аукцион",AND(Y24&lt;&gt;"",AA24&lt;&gt;"",AA24&gt;Y24*0.3)),"Стартовая ставка выше 30% от «Продать сейчас»",""),IF(AND(W24="Долги + Аукцион",AND(AB24&lt;&gt;"",AC24&lt;&gt;"",AC24&lt;EDATE(AB24,3)+15)),"Аукцион короче 3 месяцев и 15 дней",""))))</f>
        <v/>
      </c>
      <c r="AP24" s="35">
        <f>IF(NOT(COUNTA(A24:AN24)&gt;0),"",IF(TEXTJOIN(", ",TRUE,IF(AL24="","Описание",""),IF(AND(AI24&lt;&gt;"",AI24&gt;=1,AI24&lt;5),"Фото меньше 5",""),IF(AK24="","Видео",""),IF(H24="","Кадастровый номер",""),IF(AJ24="","Ссылка на фото",""),IF(OR(AD24="",AD24="Нет"),"Кредитный договор",""),IF(OR(AE24="",AE24="Нет"),"Нотариальная закладная",""),IF(OR(AF24="",AF24="Нет"),"Выписка из реестра",""),IF(OR(AG24="",AG24="Нет"),"Оценка объекта",""),IF(AH24="","Статус в суде",""))="","",TEXTJOIN(", ",TRUE,IF(AL24="","Описание",""),IF(AND(AI24&lt;&gt;"",AI24&gt;=1,AI24&lt;5),"Фото меньше 5",""),IF(AK24="","Видео",""),IF(H24="","Кадастровый номер",""),IF(AJ24="","Ссылка на фото",""),IF(OR(AD24="",AD24="Нет"),"Кредитный договор",""),IF(OR(AE24="",AE24="Нет"),"Нотариальная закладная",""),IF(OR(AF24="",AF24="Нет"),"Выписка из реестра",""),IF(OR(AG24="",AG24="Нет"),"Оценка объекта",""),IF(AH24="","Статус в суде",""))))</f>
        <v/>
      </c>
      <c r="AQ24" s="35">
        <f>IF(NOT(COUNTA(A24:AN24)&gt;0),"",IF(AO24="","Можно публиковать","Не хватает"))</f>
        <v/>
      </c>
    </row>
    <row r="25" ht="2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 t="n"/>
      <c r="K25" s="31" t="n"/>
      <c r="L25" s="31" t="n"/>
      <c r="M25" s="32" t="n"/>
      <c r="N25" s="32" t="n"/>
      <c r="O25" s="32" t="n"/>
      <c r="P25" s="32" t="n"/>
      <c r="Q25" s="32" t="n"/>
      <c r="R25" s="32" t="n"/>
      <c r="S25" s="30" t="n"/>
      <c r="T25" s="30" t="n"/>
      <c r="U25" s="30" t="n"/>
      <c r="V25" s="30" t="n"/>
      <c r="W25" s="30" t="n"/>
      <c r="X25" s="33" t="n"/>
      <c r="Y25" s="33" t="n"/>
      <c r="Z25" s="33" t="n"/>
      <c r="AA25" s="33" t="n"/>
      <c r="AB25" s="34" t="n"/>
      <c r="AC25" s="34" t="n"/>
      <c r="AD25" s="30" t="n"/>
      <c r="AE25" s="30" t="n"/>
      <c r="AF25" s="30" t="n"/>
      <c r="AG25" s="30" t="n"/>
      <c r="AH25" s="30" t="n"/>
      <c r="AI25" s="32" t="n"/>
      <c r="AJ25" s="30" t="n"/>
      <c r="AK25" s="30" t="n"/>
      <c r="AL25" s="30" t="n"/>
      <c r="AM25" s="30" t="n"/>
      <c r="AN25" s="30" t="n"/>
      <c r="AO25" s="35">
        <f>IF(NOT(COUNTA(A25:AN25)&gt;0),"",IF(TEXTJOIN(", ",TRUE,IF(B25="","Название",""),IF(C25="","Тип недвижимости",""),IF(D25="","Страна",""),IF(E25="","Город",""),IF(F25="","Улица",""),IF(I25="","Валюта",""),IF(OR(AI25="",AI25&lt;1),"Хотя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земли",""),IF(W25="","Формат долга",""),IF(OR(X25="",X25&lt;=0),"Сумма долга",""),IF(AND(W25="Долги + Аукцион",OR(Y25="",Y25&lt;=0)),"Продать сейчас",""),IF(AND(W25="Долги + Аукцион",OR(Z25="",Z25&lt;=0)),"Минимальная цена продажи",""),IF(AND(W25="Долги + Аукцион",OR(AA25="",AA25&lt;=0)),"Стартовая ставка",""),IF(AND(W25="Долги + Аукцион",AB25=""),"Начало аукциона",""),IF(AND(W25="Долги + Аукцион",AC25=""),"Окончание аукциона",""),IF(AND(W25="Долги + Аукцион",AND(Y25&lt;&gt;"",Z25&lt;&gt;"",Z25&gt;Y25)),"Минимальная цена выше «Продать сейчас»",""),IF(AND(W25="Долги + Аукцион",AND(Y25&lt;&gt;"",Z25&lt;&gt;"",Z25&lt;=Y25,Z25&gt;Y25*0.9)),"Минимальная цена выше 90% от «Продать сейчас»",""),IF(AND(W25="Долги + Аукцион",AND(Y25&lt;&gt;"",AA25&lt;&gt;"",AA25&gt;Y25*0.3)),"Стартовая ставка выше 30% от «Продать сейчас»",""),IF(AND(W25="Долги + Аукцион",AND(AB25&lt;&gt;"",AC25&lt;&gt;"",AC25&lt;EDATE(AB25,3)+15)),"Аукцион короче 3 месяцев и 15 дней",""))="","",TEXTJOIN(", ",TRUE,IF(B25="","Название",""),IF(C25="","Тип недвижимости",""),IF(D25="","Страна",""),IF(E25="","Город",""),IF(F25="","Улица",""),IF(I25="","Валюта",""),IF(OR(AI25="",AI25&lt;1),"Хотя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земли",""),IF(W25="","Формат долга",""),IF(OR(X25="",X25&lt;=0),"Сумма долга",""),IF(AND(W25="Долги + Аукцион",OR(Y25="",Y25&lt;=0)),"Продать сейчас",""),IF(AND(W25="Долги + Аукцион",OR(Z25="",Z25&lt;=0)),"Минимальная цена продажи",""),IF(AND(W25="Долги + Аукцион",OR(AA25="",AA25&lt;=0)),"Стартовая ставка",""),IF(AND(W25="Долги + Аукцион",AB25=""),"Начало аукциона",""),IF(AND(W25="Долги + Аукцион",AC25=""),"Окончание аукциона",""),IF(AND(W25="Долги + Аукцион",AND(Y25&lt;&gt;"",Z25&lt;&gt;"",Z25&gt;Y25)),"Минимальная цена выше «Продать сейчас»",""),IF(AND(W25="Долги + Аукцион",AND(Y25&lt;&gt;"",Z25&lt;&gt;"",Z25&lt;=Y25,Z25&gt;Y25*0.9)),"Минимальная цена выше 90% от «Продать сейчас»",""),IF(AND(W25="Долги + Аукцион",AND(Y25&lt;&gt;"",AA25&lt;&gt;"",AA25&gt;Y25*0.3)),"Стартовая ставка выше 30% от «Продать сейчас»",""),IF(AND(W25="Долги + Аукцион",AND(AB25&lt;&gt;"",AC25&lt;&gt;"",AC25&lt;EDATE(AB25,3)+15)),"Аукцион короче 3 месяцев и 15 дней",""))))</f>
        <v/>
      </c>
      <c r="AP25" s="35">
        <f>IF(NOT(COUNTA(A25:AN25)&gt;0),"",IF(TEXTJOIN(", ",TRUE,IF(AL25="","Описание",""),IF(AND(AI25&lt;&gt;"",AI25&gt;=1,AI25&lt;5),"Фото меньше 5",""),IF(AK25="","Видео",""),IF(H25="","Кадастровый номер",""),IF(AJ25="","Ссылка на фото",""),IF(OR(AD25="",AD25="Нет"),"Кредитный договор",""),IF(OR(AE25="",AE25="Нет"),"Нотариальная закладная",""),IF(OR(AF25="",AF25="Нет"),"Выписка из реестра",""),IF(OR(AG25="",AG25="Нет"),"Оценка объекта",""),IF(AH25="","Статус в суде",""))="","",TEXTJOIN(", ",TRUE,IF(AL25="","Описание",""),IF(AND(AI25&lt;&gt;"",AI25&gt;=1,AI25&lt;5),"Фото меньше 5",""),IF(AK25="","Видео",""),IF(H25="","Кадастровый номер",""),IF(AJ25="","Ссылка на фото",""),IF(OR(AD25="",AD25="Нет"),"Кредитный договор",""),IF(OR(AE25="",AE25="Нет"),"Нотариальная закладная",""),IF(OR(AF25="",AF25="Нет"),"Выписка из реестра",""),IF(OR(AG25="",AG25="Нет"),"Оценка объекта",""),IF(AH25="","Статус в суде",""))))</f>
        <v/>
      </c>
      <c r="AQ25" s="35">
        <f>IF(NOT(COUNTA(A25:AN25)&gt;0),"",IF(AO25="","Можно публиковать","Не хватает"))</f>
        <v/>
      </c>
    </row>
    <row r="26" ht="22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7" t="n"/>
      <c r="K26" s="37" t="n"/>
      <c r="L26" s="37" t="n"/>
      <c r="M26" s="38" t="n"/>
      <c r="N26" s="38" t="n"/>
      <c r="O26" s="38" t="n"/>
      <c r="P26" s="38" t="n"/>
      <c r="Q26" s="38" t="n"/>
      <c r="R26" s="38" t="n"/>
      <c r="S26" s="36" t="n"/>
      <c r="T26" s="36" t="n"/>
      <c r="U26" s="36" t="n"/>
      <c r="V26" s="36" t="n"/>
      <c r="W26" s="36" t="n"/>
      <c r="X26" s="39" t="n"/>
      <c r="Y26" s="39" t="n"/>
      <c r="Z26" s="39" t="n"/>
      <c r="AA26" s="39" t="n"/>
      <c r="AB26" s="40" t="n"/>
      <c r="AC26" s="40" t="n"/>
      <c r="AD26" s="36" t="n"/>
      <c r="AE26" s="36" t="n"/>
      <c r="AF26" s="36" t="n"/>
      <c r="AG26" s="36" t="n"/>
      <c r="AH26" s="36" t="n"/>
      <c r="AI26" s="38" t="n"/>
      <c r="AJ26" s="36" t="n"/>
      <c r="AK26" s="36" t="n"/>
      <c r="AL26" s="36" t="n"/>
      <c r="AM26" s="36" t="n"/>
      <c r="AN26" s="36" t="n"/>
      <c r="AO26" s="35">
        <f>IF(NOT(COUNTA(A26:AN26)&gt;0),"",IF(TEXTJOIN(", ",TRUE,IF(B26="","Название",""),IF(C26="","Тип недвижимости",""),IF(D26="","Страна",""),IF(E26="","Город",""),IF(F26="","Улица",""),IF(I26="","Валюта",""),IF(OR(AI26="",AI26&lt;1),"Хотя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земли",""),IF(W26="","Формат долга",""),IF(OR(X26="",X26&lt;=0),"Сумма долга",""),IF(AND(W26="Долги + Аукцион",OR(Y26="",Y26&lt;=0)),"Продать сейчас",""),IF(AND(W26="Долги + Аукцион",OR(Z26="",Z26&lt;=0)),"Минимальная цена продажи",""),IF(AND(W26="Долги + Аукцион",OR(AA26="",AA26&lt;=0)),"Стартовая ставка",""),IF(AND(W26="Долги + Аукцион",AB26=""),"Начало аукциона",""),IF(AND(W26="Долги + Аукцион",AC26=""),"Окончание аукциона",""),IF(AND(W26="Долги + Аукцион",AND(Y26&lt;&gt;"",Z26&lt;&gt;"",Z26&gt;Y26)),"Минимальная цена выше «Продать сейчас»",""),IF(AND(W26="Долги + Аукцион",AND(Y26&lt;&gt;"",Z26&lt;&gt;"",Z26&lt;=Y26,Z26&gt;Y26*0.9)),"Минимальная цена выше 90% от «Продать сейчас»",""),IF(AND(W26="Долги + Аукцион",AND(Y26&lt;&gt;"",AA26&lt;&gt;"",AA26&gt;Y26*0.3)),"Стартовая ставка выше 30% от «Продать сейчас»",""),IF(AND(W26="Долги + Аукцион",AND(AB26&lt;&gt;"",AC26&lt;&gt;"",AC26&lt;EDATE(AB26,3)+15)),"Аукцион короче 3 месяцев и 15 дней",""))="","",TEXTJOIN(", ",TRUE,IF(B26="","Название",""),IF(C26="","Тип недвижимости",""),IF(D26="","Страна",""),IF(E26="","Город",""),IF(F26="","Улица",""),IF(I26="","Валюта",""),IF(OR(AI26="",AI26&lt;1),"Хотя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земли",""),IF(W26="","Формат долга",""),IF(OR(X26="",X26&lt;=0),"Сумма долга",""),IF(AND(W26="Долги + Аукцион",OR(Y26="",Y26&lt;=0)),"Продать сейчас",""),IF(AND(W26="Долги + Аукцион",OR(Z26="",Z26&lt;=0)),"Минимальная цена продажи",""),IF(AND(W26="Долги + Аукцион",OR(AA26="",AA26&lt;=0)),"Стартовая ставка",""),IF(AND(W26="Долги + Аукцион",AB26=""),"Начало аукциона",""),IF(AND(W26="Долги + Аукцион",AC26=""),"Окончание аукциона",""),IF(AND(W26="Долги + Аукцион",AND(Y26&lt;&gt;"",Z26&lt;&gt;"",Z26&gt;Y26)),"Минимальная цена выше «Продать сейчас»",""),IF(AND(W26="Долги + Аукцион",AND(Y26&lt;&gt;"",Z26&lt;&gt;"",Z26&lt;=Y26,Z26&gt;Y26*0.9)),"Минимальная цена выше 90% от «Продать сейчас»",""),IF(AND(W26="Долги + Аукцион",AND(Y26&lt;&gt;"",AA26&lt;&gt;"",AA26&gt;Y26*0.3)),"Стартовая ставка выше 30% от «Продать сейчас»",""),IF(AND(W26="Долги + Аукцион",AND(AB26&lt;&gt;"",AC26&lt;&gt;"",AC26&lt;EDATE(AB26,3)+15)),"Аукцион короче 3 месяцев и 15 дней",""))))</f>
        <v/>
      </c>
      <c r="AP26" s="35">
        <f>IF(NOT(COUNTA(A26:AN26)&gt;0),"",IF(TEXTJOIN(", ",TRUE,IF(AL26="","Описание",""),IF(AND(AI26&lt;&gt;"",AI26&gt;=1,AI26&lt;5),"Фото меньше 5",""),IF(AK26="","Видео",""),IF(H26="","Кадастровый номер",""),IF(AJ26="","Ссылка на фото",""),IF(OR(AD26="",AD26="Нет"),"Кредитный договор",""),IF(OR(AE26="",AE26="Нет"),"Нотариальная закладная",""),IF(OR(AF26="",AF26="Нет"),"Выписка из реестра",""),IF(OR(AG26="",AG26="Нет"),"Оценка объекта",""),IF(AH26="","Статус в суде",""))="","",TEXTJOIN(", ",TRUE,IF(AL26="","Описание",""),IF(AND(AI26&lt;&gt;"",AI26&gt;=1,AI26&lt;5),"Фото меньше 5",""),IF(AK26="","Видео",""),IF(H26="","Кадастровый номер",""),IF(AJ26="","Ссылка на фото",""),IF(OR(AD26="",AD26="Нет"),"Кредитный договор",""),IF(OR(AE26="",AE26="Нет"),"Нотариальная закладная",""),IF(OR(AF26="",AF26="Нет"),"Выписка из реестра",""),IF(OR(AG26="",AG26="Нет"),"Оценка объекта",""),IF(AH26="","Статус в суде",""))))</f>
        <v/>
      </c>
      <c r="AQ26" s="35">
        <f>IF(NOT(COUNTA(A26:AN26)&gt;0),"",IF(AO26="","Можно публиковать","Не хватает"))</f>
        <v/>
      </c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 t="n"/>
      <c r="K27" s="31" t="n"/>
      <c r="L27" s="31" t="n"/>
      <c r="M27" s="32" t="n"/>
      <c r="N27" s="32" t="n"/>
      <c r="O27" s="32" t="n"/>
      <c r="P27" s="32" t="n"/>
      <c r="Q27" s="32" t="n"/>
      <c r="R27" s="32" t="n"/>
      <c r="S27" s="30" t="n"/>
      <c r="T27" s="30" t="n"/>
      <c r="U27" s="30" t="n"/>
      <c r="V27" s="30" t="n"/>
      <c r="W27" s="30" t="n"/>
      <c r="X27" s="33" t="n"/>
      <c r="Y27" s="33" t="n"/>
      <c r="Z27" s="33" t="n"/>
      <c r="AA27" s="33" t="n"/>
      <c r="AB27" s="34" t="n"/>
      <c r="AC27" s="34" t="n"/>
      <c r="AD27" s="30" t="n"/>
      <c r="AE27" s="30" t="n"/>
      <c r="AF27" s="30" t="n"/>
      <c r="AG27" s="30" t="n"/>
      <c r="AH27" s="30" t="n"/>
      <c r="AI27" s="32" t="n"/>
      <c r="AJ27" s="30" t="n"/>
      <c r="AK27" s="30" t="n"/>
      <c r="AL27" s="30" t="n"/>
      <c r="AM27" s="30" t="n"/>
      <c r="AN27" s="30" t="n"/>
      <c r="AO27" s="35">
        <f>IF(NOT(COUNTA(A27:AN27)&gt;0),"",IF(TEXTJOIN(", ",TRUE,IF(B27="","Название",""),IF(C27="","Тип недвижимости",""),IF(D27="","Страна",""),IF(E27="","Город",""),IF(F27="","Улица",""),IF(I27="","Валюта",""),IF(OR(AI27="",AI27&lt;1),"Хотя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земли",""),IF(W27="","Формат долга",""),IF(OR(X27="",X27&lt;=0),"Сумма долга",""),IF(AND(W27="Долги + Аукцион",OR(Y27="",Y27&lt;=0)),"Продать сейчас",""),IF(AND(W27="Долги + Аукцион",OR(Z27="",Z27&lt;=0)),"Минимальная цена продажи",""),IF(AND(W27="Долги + Аукцион",OR(AA27="",AA27&lt;=0)),"Стартовая ставка",""),IF(AND(W27="Долги + Аукцион",AB27=""),"Начало аукциона",""),IF(AND(W27="Долги + Аукцион",AC27=""),"Окончание аукциона",""),IF(AND(W27="Долги + Аукцион",AND(Y27&lt;&gt;"",Z27&lt;&gt;"",Z27&gt;Y27)),"Минимальная цена выше «Продать сейчас»",""),IF(AND(W27="Долги + Аукцион",AND(Y27&lt;&gt;"",Z27&lt;&gt;"",Z27&lt;=Y27,Z27&gt;Y27*0.9)),"Минимальная цена выше 90% от «Продать сейчас»",""),IF(AND(W27="Долги + Аукцион",AND(Y27&lt;&gt;"",AA27&lt;&gt;"",AA27&gt;Y27*0.3)),"Стартовая ставка выше 30% от «Продать сейчас»",""),IF(AND(W27="Долги + Аукцион",AND(AB27&lt;&gt;"",AC27&lt;&gt;"",AC27&lt;EDATE(AB27,3)+15)),"Аукцион короче 3 месяцев и 15 дней",""))="","",TEXTJOIN(", ",TRUE,IF(B27="","Название",""),IF(C27="","Тип недвижимости",""),IF(D27="","Страна",""),IF(E27="","Город",""),IF(F27="","Улица",""),IF(I27="","Валюта",""),IF(OR(AI27="",AI27&lt;1),"Хотя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земли",""),IF(W27="","Формат долга",""),IF(OR(X27="",X27&lt;=0),"Сумма долга",""),IF(AND(W27="Долги + Аукцион",OR(Y27="",Y27&lt;=0)),"Продать сейчас",""),IF(AND(W27="Долги + Аукцион",OR(Z27="",Z27&lt;=0)),"Минимальная цена продажи",""),IF(AND(W27="Долги + Аукцион",OR(AA27="",AA27&lt;=0)),"Стартовая ставка",""),IF(AND(W27="Долги + Аукцион",AB27=""),"Начало аукциона",""),IF(AND(W27="Долги + Аукцион",AC27=""),"Окончание аукциона",""),IF(AND(W27="Долги + Аукцион",AND(Y27&lt;&gt;"",Z27&lt;&gt;"",Z27&gt;Y27)),"Минимальная цена выше «Продать сейчас»",""),IF(AND(W27="Долги + Аукцион",AND(Y27&lt;&gt;"",Z27&lt;&gt;"",Z27&lt;=Y27,Z27&gt;Y27*0.9)),"Минимальная цена выше 90% от «Продать сейчас»",""),IF(AND(W27="Долги + Аукцион",AND(Y27&lt;&gt;"",AA27&lt;&gt;"",AA27&gt;Y27*0.3)),"Стартовая ставка выше 30% от «Продать сейчас»",""),IF(AND(W27="Долги + Аукцион",AND(AB27&lt;&gt;"",AC27&lt;&gt;"",AC27&lt;EDATE(AB27,3)+15)),"Аукцион короче 3 месяцев и 15 дней",""))))</f>
        <v/>
      </c>
      <c r="AP27" s="35">
        <f>IF(NOT(COUNTA(A27:AN27)&gt;0),"",IF(TEXTJOIN(", ",TRUE,IF(AL27="","Описание",""),IF(AND(AI27&lt;&gt;"",AI27&gt;=1,AI27&lt;5),"Фото меньше 5",""),IF(AK27="","Видео",""),IF(H27="","Кадастровый номер",""),IF(AJ27="","Ссылка на фото",""),IF(OR(AD27="",AD27="Нет"),"Кредитный договор",""),IF(OR(AE27="",AE27="Нет"),"Нотариальная закладная",""),IF(OR(AF27="",AF27="Нет"),"Выписка из реестра",""),IF(OR(AG27="",AG27="Нет"),"Оценка объекта",""),IF(AH27="","Статус в суде",""))="","",TEXTJOIN(", ",TRUE,IF(AL27="","Описание",""),IF(AND(AI27&lt;&gt;"",AI27&gt;=1,AI27&lt;5),"Фото меньше 5",""),IF(AK27="","Видео",""),IF(H27="","Кадастровый номер",""),IF(AJ27="","Ссылка на фото",""),IF(OR(AD27="",AD27="Нет"),"Кредитный договор",""),IF(OR(AE27="",AE27="Нет"),"Нотариальная закладная",""),IF(OR(AF27="",AF27="Нет"),"Выписка из реестра",""),IF(OR(AG27="",AG27="Нет"),"Оценка объекта",""),IF(AH27="","Статус в суде",""))))</f>
        <v/>
      </c>
      <c r="AQ27" s="35">
        <f>IF(NOT(COUNTA(A27:AN27)&gt;0),"",IF(AO27="","Можно публиковать","Не хватает"))</f>
        <v/>
      </c>
    </row>
    <row r="28" ht="22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7" t="n"/>
      <c r="K28" s="37" t="n"/>
      <c r="L28" s="37" t="n"/>
      <c r="M28" s="38" t="n"/>
      <c r="N28" s="38" t="n"/>
      <c r="O28" s="38" t="n"/>
      <c r="P28" s="38" t="n"/>
      <c r="Q28" s="38" t="n"/>
      <c r="R28" s="38" t="n"/>
      <c r="S28" s="36" t="n"/>
      <c r="T28" s="36" t="n"/>
      <c r="U28" s="36" t="n"/>
      <c r="V28" s="36" t="n"/>
      <c r="W28" s="36" t="n"/>
      <c r="X28" s="39" t="n"/>
      <c r="Y28" s="39" t="n"/>
      <c r="Z28" s="39" t="n"/>
      <c r="AA28" s="39" t="n"/>
      <c r="AB28" s="40" t="n"/>
      <c r="AC28" s="40" t="n"/>
      <c r="AD28" s="36" t="n"/>
      <c r="AE28" s="36" t="n"/>
      <c r="AF28" s="36" t="n"/>
      <c r="AG28" s="36" t="n"/>
      <c r="AH28" s="36" t="n"/>
      <c r="AI28" s="38" t="n"/>
      <c r="AJ28" s="36" t="n"/>
      <c r="AK28" s="36" t="n"/>
      <c r="AL28" s="36" t="n"/>
      <c r="AM28" s="36" t="n"/>
      <c r="AN28" s="36" t="n"/>
      <c r="AO28" s="35">
        <f>IF(NOT(COUNTA(A28:AN28)&gt;0),"",IF(TEXTJOIN(", ",TRUE,IF(B28="","Название",""),IF(C28="","Тип недвижимости",""),IF(D28="","Страна",""),IF(E28="","Город",""),IF(F28="","Улица",""),IF(I28="","Валюта",""),IF(OR(AI28="",AI28&lt;1),"Хотя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земли",""),IF(W28="","Формат долга",""),IF(OR(X28="",X28&lt;=0),"Сумма долга",""),IF(AND(W28="Долги + Аукцион",OR(Y28="",Y28&lt;=0)),"Продать сейчас",""),IF(AND(W28="Долги + Аукцион",OR(Z28="",Z28&lt;=0)),"Минимальная цена продажи",""),IF(AND(W28="Долги + Аукцион",OR(AA28="",AA28&lt;=0)),"Стартовая ставка",""),IF(AND(W28="Долги + Аукцион",AB28=""),"Начало аукциона",""),IF(AND(W28="Долги + Аукцион",AC28=""),"Окончание аукциона",""),IF(AND(W28="Долги + Аукцион",AND(Y28&lt;&gt;"",Z28&lt;&gt;"",Z28&gt;Y28)),"Минимальная цена выше «Продать сейчас»",""),IF(AND(W28="Долги + Аукцион",AND(Y28&lt;&gt;"",Z28&lt;&gt;"",Z28&lt;=Y28,Z28&gt;Y28*0.9)),"Минимальная цена выше 90% от «Продать сейчас»",""),IF(AND(W28="Долги + Аукцион",AND(Y28&lt;&gt;"",AA28&lt;&gt;"",AA28&gt;Y28*0.3)),"Стартовая ставка выше 30% от «Продать сейчас»",""),IF(AND(W28="Долги + Аукцион",AND(AB28&lt;&gt;"",AC28&lt;&gt;"",AC28&lt;EDATE(AB28,3)+15)),"Аукцион короче 3 месяцев и 15 дней",""))="","",TEXTJOIN(", ",TRUE,IF(B28="","Название",""),IF(C28="","Тип недвижимости",""),IF(D28="","Страна",""),IF(E28="","Город",""),IF(F28="","Улица",""),IF(I28="","Валюта",""),IF(OR(AI28="",AI28&lt;1),"Хотя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земли",""),IF(W28="","Формат долга",""),IF(OR(X28="",X28&lt;=0),"Сумма долга",""),IF(AND(W28="Долги + Аукцион",OR(Y28="",Y28&lt;=0)),"Продать сейчас",""),IF(AND(W28="Долги + Аукцион",OR(Z28="",Z28&lt;=0)),"Минимальная цена продажи",""),IF(AND(W28="Долги + Аукцион",OR(AA28="",AA28&lt;=0)),"Стартовая ставка",""),IF(AND(W28="Долги + Аукцион",AB28=""),"Начало аукциона",""),IF(AND(W28="Долги + Аукцион",AC28=""),"Окончание аукциона",""),IF(AND(W28="Долги + Аукцион",AND(Y28&lt;&gt;"",Z28&lt;&gt;"",Z28&gt;Y28)),"Минимальная цена выше «Продать сейчас»",""),IF(AND(W28="Долги + Аукцион",AND(Y28&lt;&gt;"",Z28&lt;&gt;"",Z28&lt;=Y28,Z28&gt;Y28*0.9)),"Минимальная цена выше 90% от «Продать сейчас»",""),IF(AND(W28="Долги + Аукцион",AND(Y28&lt;&gt;"",AA28&lt;&gt;"",AA28&gt;Y28*0.3)),"Стартовая ставка выше 30% от «Продать сейчас»",""),IF(AND(W28="Долги + Аукцион",AND(AB28&lt;&gt;"",AC28&lt;&gt;"",AC28&lt;EDATE(AB28,3)+15)),"Аукцион короче 3 месяцев и 15 дней",""))))</f>
        <v/>
      </c>
      <c r="AP28" s="35">
        <f>IF(NOT(COUNTA(A28:AN28)&gt;0),"",IF(TEXTJOIN(", ",TRUE,IF(AL28="","Описание",""),IF(AND(AI28&lt;&gt;"",AI28&gt;=1,AI28&lt;5),"Фото меньше 5",""),IF(AK28="","Видео",""),IF(H28="","Кадастровый номер",""),IF(AJ28="","Ссылка на фото",""),IF(OR(AD28="",AD28="Нет"),"Кредитный договор",""),IF(OR(AE28="",AE28="Нет"),"Нотариальная закладная",""),IF(OR(AF28="",AF28="Нет"),"Выписка из реестра",""),IF(OR(AG28="",AG28="Нет"),"Оценка объекта",""),IF(AH28="","Статус в суде",""))="","",TEXTJOIN(", ",TRUE,IF(AL28="","Описание",""),IF(AND(AI28&lt;&gt;"",AI28&gt;=1,AI28&lt;5),"Фото меньше 5",""),IF(AK28="","Видео",""),IF(H28="","Кадастровый номер",""),IF(AJ28="","Ссылка на фото",""),IF(OR(AD28="",AD28="Нет"),"Кредитный договор",""),IF(OR(AE28="",AE28="Нет"),"Нотариальная закладная",""),IF(OR(AF28="",AF28="Нет"),"Выписка из реестра",""),IF(OR(AG28="",AG28="Нет"),"Оценка объекта",""),IF(AH28="","Статус в суде",""))))</f>
        <v/>
      </c>
      <c r="AQ28" s="35">
        <f>IF(NOT(COUNTA(A28:AN28)&gt;0),"",IF(AO28="","Можно публиковать","Не хватает"))</f>
        <v/>
      </c>
    </row>
    <row r="29" ht="22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 t="n"/>
      <c r="K29" s="31" t="n"/>
      <c r="L29" s="31" t="n"/>
      <c r="M29" s="32" t="n"/>
      <c r="N29" s="32" t="n"/>
      <c r="O29" s="32" t="n"/>
      <c r="P29" s="32" t="n"/>
      <c r="Q29" s="32" t="n"/>
      <c r="R29" s="32" t="n"/>
      <c r="S29" s="30" t="n"/>
      <c r="T29" s="30" t="n"/>
      <c r="U29" s="30" t="n"/>
      <c r="V29" s="30" t="n"/>
      <c r="W29" s="30" t="n"/>
      <c r="X29" s="33" t="n"/>
      <c r="Y29" s="33" t="n"/>
      <c r="Z29" s="33" t="n"/>
      <c r="AA29" s="33" t="n"/>
      <c r="AB29" s="34" t="n"/>
      <c r="AC29" s="34" t="n"/>
      <c r="AD29" s="30" t="n"/>
      <c r="AE29" s="30" t="n"/>
      <c r="AF29" s="30" t="n"/>
      <c r="AG29" s="30" t="n"/>
      <c r="AH29" s="30" t="n"/>
      <c r="AI29" s="32" t="n"/>
      <c r="AJ29" s="30" t="n"/>
      <c r="AK29" s="30" t="n"/>
      <c r="AL29" s="30" t="n"/>
      <c r="AM29" s="30" t="n"/>
      <c r="AN29" s="30" t="n"/>
      <c r="AO29" s="35">
        <f>IF(NOT(COUNTA(A29:AN29)&gt;0),"",IF(TEXTJOIN(", ",TRUE,IF(B29="","Название",""),IF(C29="","Тип недвижимости",""),IF(D29="","Страна",""),IF(E29="","Город",""),IF(F29="","Улица",""),IF(I29="","Валюта",""),IF(OR(AI29="",AI29&lt;1),"Хотя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земли",""),IF(W29="","Формат долга",""),IF(OR(X29="",X29&lt;=0),"Сумма долга",""),IF(AND(W29="Долги + Аукцион",OR(Y29="",Y29&lt;=0)),"Продать сейчас",""),IF(AND(W29="Долги + Аукцион",OR(Z29="",Z29&lt;=0)),"Минимальная цена продажи",""),IF(AND(W29="Долги + Аукцион",OR(AA29="",AA29&lt;=0)),"Стартовая ставка",""),IF(AND(W29="Долги + Аукцион",AB29=""),"Начало аукциона",""),IF(AND(W29="Долги + Аукцион",AC29=""),"Окончание аукциона",""),IF(AND(W29="Долги + Аукцион",AND(Y29&lt;&gt;"",Z29&lt;&gt;"",Z29&gt;Y29)),"Минимальная цена выше «Продать сейчас»",""),IF(AND(W29="Долги + Аукцион",AND(Y29&lt;&gt;"",Z29&lt;&gt;"",Z29&lt;=Y29,Z29&gt;Y29*0.9)),"Минимальная цена выше 90% от «Продать сейчас»",""),IF(AND(W29="Долги + Аукцион",AND(Y29&lt;&gt;"",AA29&lt;&gt;"",AA29&gt;Y29*0.3)),"Стартовая ставка выше 30% от «Продать сейчас»",""),IF(AND(W29="Долги + Аукцион",AND(AB29&lt;&gt;"",AC29&lt;&gt;"",AC29&lt;EDATE(AB29,3)+15)),"Аукцион короче 3 месяцев и 15 дней",""))="","",TEXTJOIN(", ",TRUE,IF(B29="","Название",""),IF(C29="","Тип недвижимости",""),IF(D29="","Страна",""),IF(E29="","Город",""),IF(F29="","Улица",""),IF(I29="","Валюта",""),IF(OR(AI29="",AI29&lt;1),"Хотя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земли",""),IF(W29="","Формат долга",""),IF(OR(X29="",X29&lt;=0),"Сумма долга",""),IF(AND(W29="Долги + Аукцион",OR(Y29="",Y29&lt;=0)),"Продать сейчас",""),IF(AND(W29="Долги + Аукцион",OR(Z29="",Z29&lt;=0)),"Минимальная цена продажи",""),IF(AND(W29="Долги + Аукцион",OR(AA29="",AA29&lt;=0)),"Стартовая ставка",""),IF(AND(W29="Долги + Аукцион",AB29=""),"Начало аукциона",""),IF(AND(W29="Долги + Аукцион",AC29=""),"Окончание аукциона",""),IF(AND(W29="Долги + Аукцион",AND(Y29&lt;&gt;"",Z29&lt;&gt;"",Z29&gt;Y29)),"Минимальная цена выше «Продать сейчас»",""),IF(AND(W29="Долги + Аукцион",AND(Y29&lt;&gt;"",Z29&lt;&gt;"",Z29&lt;=Y29,Z29&gt;Y29*0.9)),"Минимальная цена выше 90% от «Продать сейчас»",""),IF(AND(W29="Долги + Аукцион",AND(Y29&lt;&gt;"",AA29&lt;&gt;"",AA29&gt;Y29*0.3)),"Стартовая ставка выше 30% от «Продать сейчас»",""),IF(AND(W29="Долги + Аукцион",AND(AB29&lt;&gt;"",AC29&lt;&gt;"",AC29&lt;EDATE(AB29,3)+15)),"Аукцион короче 3 месяцев и 15 дней",""))))</f>
        <v/>
      </c>
      <c r="AP29" s="35">
        <f>IF(NOT(COUNTA(A29:AN29)&gt;0),"",IF(TEXTJOIN(", ",TRUE,IF(AL29="","Описание",""),IF(AND(AI29&lt;&gt;"",AI29&gt;=1,AI29&lt;5),"Фото меньше 5",""),IF(AK29="","Видео",""),IF(H29="","Кадастровый номер",""),IF(AJ29="","Ссылка на фото",""),IF(OR(AD29="",AD29="Нет"),"Кредитный договор",""),IF(OR(AE29="",AE29="Нет"),"Нотариальная закладная",""),IF(OR(AF29="",AF29="Нет"),"Выписка из реестра",""),IF(OR(AG29="",AG29="Нет"),"Оценка объекта",""),IF(AH29="","Статус в суде",""))="","",TEXTJOIN(", ",TRUE,IF(AL29="","Описание",""),IF(AND(AI29&lt;&gt;"",AI29&gt;=1,AI29&lt;5),"Фото меньше 5",""),IF(AK29="","Видео",""),IF(H29="","Кадастровый номер",""),IF(AJ29="","Ссылка на фото",""),IF(OR(AD29="",AD29="Нет"),"Кредитный договор",""),IF(OR(AE29="",AE29="Нет"),"Нотариальная закладная",""),IF(OR(AF29="",AF29="Нет"),"Выписка из реестра",""),IF(OR(AG29="",AG29="Нет"),"Оценка объекта",""),IF(AH29="","Статус в суде",""))))</f>
        <v/>
      </c>
      <c r="AQ29" s="35">
        <f>IF(NOT(COUNTA(A29:AN29)&gt;0),"",IF(AO29="","Можно публиковать","Не хватает"))</f>
        <v/>
      </c>
    </row>
    <row r="30" ht="22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7" t="n"/>
      <c r="K30" s="37" t="n"/>
      <c r="L30" s="37" t="n"/>
      <c r="M30" s="38" t="n"/>
      <c r="N30" s="38" t="n"/>
      <c r="O30" s="38" t="n"/>
      <c r="P30" s="38" t="n"/>
      <c r="Q30" s="38" t="n"/>
      <c r="R30" s="38" t="n"/>
      <c r="S30" s="36" t="n"/>
      <c r="T30" s="36" t="n"/>
      <c r="U30" s="36" t="n"/>
      <c r="V30" s="36" t="n"/>
      <c r="W30" s="36" t="n"/>
      <c r="X30" s="39" t="n"/>
      <c r="Y30" s="39" t="n"/>
      <c r="Z30" s="39" t="n"/>
      <c r="AA30" s="39" t="n"/>
      <c r="AB30" s="40" t="n"/>
      <c r="AC30" s="40" t="n"/>
      <c r="AD30" s="36" t="n"/>
      <c r="AE30" s="36" t="n"/>
      <c r="AF30" s="36" t="n"/>
      <c r="AG30" s="36" t="n"/>
      <c r="AH30" s="36" t="n"/>
      <c r="AI30" s="38" t="n"/>
      <c r="AJ30" s="36" t="n"/>
      <c r="AK30" s="36" t="n"/>
      <c r="AL30" s="36" t="n"/>
      <c r="AM30" s="36" t="n"/>
      <c r="AN30" s="36" t="n"/>
      <c r="AO30" s="35">
        <f>IF(NOT(COUNTA(A30:AN30)&gt;0),"",IF(TEXTJOIN(", ",TRUE,IF(B30="","Название",""),IF(C30="","Тип недвижимости",""),IF(D30="","Страна",""),IF(E30="","Город",""),IF(F30="","Улица",""),IF(I30="","Валюта",""),IF(OR(AI30="",AI30&lt;1),"Хотя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земли",""),IF(W30="","Формат долга",""),IF(OR(X30="",X30&lt;=0),"Сумма долга",""),IF(AND(W30="Долги + Аукцион",OR(Y30="",Y30&lt;=0)),"Продать сейчас",""),IF(AND(W30="Долги + Аукцион",OR(Z30="",Z30&lt;=0)),"Минимальная цена продажи",""),IF(AND(W30="Долги + Аукцион",OR(AA30="",AA30&lt;=0)),"Стартовая ставка",""),IF(AND(W30="Долги + Аукцион",AB30=""),"Начало аукциона",""),IF(AND(W30="Долги + Аукцион",AC30=""),"Окончание аукциона",""),IF(AND(W30="Долги + Аукцион",AND(Y30&lt;&gt;"",Z30&lt;&gt;"",Z30&gt;Y30)),"Минимальная цена выше «Продать сейчас»",""),IF(AND(W30="Долги + Аукцион",AND(Y30&lt;&gt;"",Z30&lt;&gt;"",Z30&lt;=Y30,Z30&gt;Y30*0.9)),"Минимальная цена выше 90% от «Продать сейчас»",""),IF(AND(W30="Долги + Аукцион",AND(Y30&lt;&gt;"",AA30&lt;&gt;"",AA30&gt;Y30*0.3)),"Стартовая ставка выше 30% от «Продать сейчас»",""),IF(AND(W30="Долги + Аукцион",AND(AB30&lt;&gt;"",AC30&lt;&gt;"",AC30&lt;EDATE(AB30,3)+15)),"Аукцион короче 3 месяцев и 15 дней",""))="","",TEXTJOIN(", ",TRUE,IF(B30="","Название",""),IF(C30="","Тип недвижимости",""),IF(D30="","Страна",""),IF(E30="","Город",""),IF(F30="","Улица",""),IF(I30="","Валюта",""),IF(OR(AI30="",AI30&lt;1),"Хотя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земли",""),IF(W30="","Формат долга",""),IF(OR(X30="",X30&lt;=0),"Сумма долга",""),IF(AND(W30="Долги + Аукцион",OR(Y30="",Y30&lt;=0)),"Продать сейчас",""),IF(AND(W30="Долги + Аукцион",OR(Z30="",Z30&lt;=0)),"Минимальная цена продажи",""),IF(AND(W30="Долги + Аукцион",OR(AA30="",AA30&lt;=0)),"Стартовая ставка",""),IF(AND(W30="Долги + Аукцион",AB30=""),"Начало аукциона",""),IF(AND(W30="Долги + Аукцион",AC30=""),"Окончание аукциона",""),IF(AND(W30="Долги + Аукцион",AND(Y30&lt;&gt;"",Z30&lt;&gt;"",Z30&gt;Y30)),"Минимальная цена выше «Продать сейчас»",""),IF(AND(W30="Долги + Аукцион",AND(Y30&lt;&gt;"",Z30&lt;&gt;"",Z30&lt;=Y30,Z30&gt;Y30*0.9)),"Минимальная цена выше 90% от «Продать сейчас»",""),IF(AND(W30="Долги + Аукцион",AND(Y30&lt;&gt;"",AA30&lt;&gt;"",AA30&gt;Y30*0.3)),"Стартовая ставка выше 30% от «Продать сейчас»",""),IF(AND(W30="Долги + Аукцион",AND(AB30&lt;&gt;"",AC30&lt;&gt;"",AC30&lt;EDATE(AB30,3)+15)),"Аукцион короче 3 месяцев и 15 дней",""))))</f>
        <v/>
      </c>
      <c r="AP30" s="35">
        <f>IF(NOT(COUNTA(A30:AN30)&gt;0),"",IF(TEXTJOIN(", ",TRUE,IF(AL30="","Описание",""),IF(AND(AI30&lt;&gt;"",AI30&gt;=1,AI30&lt;5),"Фото меньше 5",""),IF(AK30="","Видео",""),IF(H30="","Кадастровый номер",""),IF(AJ30="","Ссылка на фото",""),IF(OR(AD30="",AD30="Нет"),"Кредитный договор",""),IF(OR(AE30="",AE30="Нет"),"Нотариальная закладная",""),IF(OR(AF30="",AF30="Нет"),"Выписка из реестра",""),IF(OR(AG30="",AG30="Нет"),"Оценка объекта",""),IF(AH30="","Статус в суде",""))="","",TEXTJOIN(", ",TRUE,IF(AL30="","Описание",""),IF(AND(AI30&lt;&gt;"",AI30&gt;=1,AI30&lt;5),"Фото меньше 5",""),IF(AK30="","Видео",""),IF(H30="","Кадастровый номер",""),IF(AJ30="","Ссылка на фото",""),IF(OR(AD30="",AD30="Нет"),"Кредитный договор",""),IF(OR(AE30="",AE30="Нет"),"Нотариальная закладная",""),IF(OR(AF30="",AF30="Нет"),"Выписка из реестра",""),IF(OR(AG30="",AG30="Нет"),"Оценка объекта",""),IF(AH30="","Статус в суде",""))))</f>
        <v/>
      </c>
      <c r="AQ30" s="35">
        <f>IF(NOT(COUNTA(A30:AN30)&gt;0),"",IF(AO30="","Можно публиковать","Не хватает"))</f>
        <v/>
      </c>
    </row>
    <row r="31" ht="22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 t="n"/>
      <c r="K31" s="31" t="n"/>
      <c r="L31" s="31" t="n"/>
      <c r="M31" s="32" t="n"/>
      <c r="N31" s="32" t="n"/>
      <c r="O31" s="32" t="n"/>
      <c r="P31" s="32" t="n"/>
      <c r="Q31" s="32" t="n"/>
      <c r="R31" s="32" t="n"/>
      <c r="S31" s="30" t="n"/>
      <c r="T31" s="30" t="n"/>
      <c r="U31" s="30" t="n"/>
      <c r="V31" s="30" t="n"/>
      <c r="W31" s="30" t="n"/>
      <c r="X31" s="33" t="n"/>
      <c r="Y31" s="33" t="n"/>
      <c r="Z31" s="33" t="n"/>
      <c r="AA31" s="33" t="n"/>
      <c r="AB31" s="34" t="n"/>
      <c r="AC31" s="34" t="n"/>
      <c r="AD31" s="30" t="n"/>
      <c r="AE31" s="30" t="n"/>
      <c r="AF31" s="30" t="n"/>
      <c r="AG31" s="30" t="n"/>
      <c r="AH31" s="30" t="n"/>
      <c r="AI31" s="32" t="n"/>
      <c r="AJ31" s="30" t="n"/>
      <c r="AK31" s="30" t="n"/>
      <c r="AL31" s="30" t="n"/>
      <c r="AM31" s="30" t="n"/>
      <c r="AN31" s="30" t="n"/>
      <c r="AO31" s="35">
        <f>IF(NOT(COUNTA(A31:AN31)&gt;0),"",IF(TEXTJOIN(", ",TRUE,IF(B31="","Название",""),IF(C31="","Тип недвижимости",""),IF(D31="","Страна",""),IF(E31="","Город",""),IF(F31="","Улица",""),IF(I31="","Валюта",""),IF(OR(AI31="",AI31&lt;1),"Хотя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земли",""),IF(W31="","Формат долга",""),IF(OR(X31="",X31&lt;=0),"Сумма долга",""),IF(AND(W31="Долги + Аукцион",OR(Y31="",Y31&lt;=0)),"Продать сейчас",""),IF(AND(W31="Долги + Аукцион",OR(Z31="",Z31&lt;=0)),"Минимальная цена продажи",""),IF(AND(W31="Долги + Аукцион",OR(AA31="",AA31&lt;=0)),"Стартовая ставка",""),IF(AND(W31="Долги + Аукцион",AB31=""),"Начало аукциона",""),IF(AND(W31="Долги + Аукцион",AC31=""),"Окончание аукциона",""),IF(AND(W31="Долги + Аукцион",AND(Y31&lt;&gt;"",Z31&lt;&gt;"",Z31&gt;Y31)),"Минимальная цена выше «Продать сейчас»",""),IF(AND(W31="Долги + Аукцион",AND(Y31&lt;&gt;"",Z31&lt;&gt;"",Z31&lt;=Y31,Z31&gt;Y31*0.9)),"Минимальная цена выше 90% от «Продать сейчас»",""),IF(AND(W31="Долги + Аукцион",AND(Y31&lt;&gt;"",AA31&lt;&gt;"",AA31&gt;Y31*0.3)),"Стартовая ставка выше 30% от «Продать сейчас»",""),IF(AND(W31="Долги + Аукцион",AND(AB31&lt;&gt;"",AC31&lt;&gt;"",AC31&lt;EDATE(AB31,3)+15)),"Аукцион короче 3 месяцев и 15 дней",""))="","",TEXTJOIN(", ",TRUE,IF(B31="","Название",""),IF(C31="","Тип недвижимости",""),IF(D31="","Страна",""),IF(E31="","Город",""),IF(F31="","Улица",""),IF(I31="","Валюта",""),IF(OR(AI31="",AI31&lt;1),"Хотя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земли",""),IF(W31="","Формат долга",""),IF(OR(X31="",X31&lt;=0),"Сумма долга",""),IF(AND(W31="Долги + Аукцион",OR(Y31="",Y31&lt;=0)),"Продать сейчас",""),IF(AND(W31="Долги + Аукцион",OR(Z31="",Z31&lt;=0)),"Минимальная цена продажи",""),IF(AND(W31="Долги + Аукцион",OR(AA31="",AA31&lt;=0)),"Стартовая ставка",""),IF(AND(W31="Долги + Аукцион",AB31=""),"Начало аукциона",""),IF(AND(W31="Долги + Аукцион",AC31=""),"Окончание аукциона",""),IF(AND(W31="Долги + Аукцион",AND(Y31&lt;&gt;"",Z31&lt;&gt;"",Z31&gt;Y31)),"Минимальная цена выше «Продать сейчас»",""),IF(AND(W31="Долги + Аукцион",AND(Y31&lt;&gt;"",Z31&lt;&gt;"",Z31&lt;=Y31,Z31&gt;Y31*0.9)),"Минимальная цена выше 90% от «Продать сейчас»",""),IF(AND(W31="Долги + Аукцион",AND(Y31&lt;&gt;"",AA31&lt;&gt;"",AA31&gt;Y31*0.3)),"Стартовая ставка выше 30% от «Продать сейчас»",""),IF(AND(W31="Долги + Аукцион",AND(AB31&lt;&gt;"",AC31&lt;&gt;"",AC31&lt;EDATE(AB31,3)+15)),"Аукцион короче 3 месяцев и 15 дней",""))))</f>
        <v/>
      </c>
      <c r="AP31" s="35">
        <f>IF(NOT(COUNTA(A31:AN31)&gt;0),"",IF(TEXTJOIN(", ",TRUE,IF(AL31="","Описание",""),IF(AND(AI31&lt;&gt;"",AI31&gt;=1,AI31&lt;5),"Фото меньше 5",""),IF(AK31="","Видео",""),IF(H31="","Кадастровый номер",""),IF(AJ31="","Ссылка на фото",""),IF(OR(AD31="",AD31="Нет"),"Кредитный договор",""),IF(OR(AE31="",AE31="Нет"),"Нотариальная закладная",""),IF(OR(AF31="",AF31="Нет"),"Выписка из реестра",""),IF(OR(AG31="",AG31="Нет"),"Оценка объекта",""),IF(AH31="","Статус в суде",""))="","",TEXTJOIN(", ",TRUE,IF(AL31="","Описание",""),IF(AND(AI31&lt;&gt;"",AI31&gt;=1,AI31&lt;5),"Фото меньше 5",""),IF(AK31="","Видео",""),IF(H31="","Кадастровый номер",""),IF(AJ31="","Ссылка на фото",""),IF(OR(AD31="",AD31="Нет"),"Кредитный договор",""),IF(OR(AE31="",AE31="Нет"),"Нотариальная закладная",""),IF(OR(AF31="",AF31="Нет"),"Выписка из реестра",""),IF(OR(AG31="",AG31="Нет"),"Оценка объекта",""),IF(AH31="","Статус в суде",""))))</f>
        <v/>
      </c>
      <c r="AQ31" s="35">
        <f>IF(NOT(COUNTA(A31:AN31)&gt;0),"",IF(AO31="","Можно публиковать","Не хватает"))</f>
        <v/>
      </c>
    </row>
    <row r="32" ht="22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37" t="n"/>
      <c r="M32" s="38" t="n"/>
      <c r="N32" s="38" t="n"/>
      <c r="O32" s="38" t="n"/>
      <c r="P32" s="38" t="n"/>
      <c r="Q32" s="38" t="n"/>
      <c r="R32" s="38" t="n"/>
      <c r="S32" s="36" t="n"/>
      <c r="T32" s="36" t="n"/>
      <c r="U32" s="36" t="n"/>
      <c r="V32" s="36" t="n"/>
      <c r="W32" s="36" t="n"/>
      <c r="X32" s="39" t="n"/>
      <c r="Y32" s="39" t="n"/>
      <c r="Z32" s="39" t="n"/>
      <c r="AA32" s="39" t="n"/>
      <c r="AB32" s="40" t="n"/>
      <c r="AC32" s="40" t="n"/>
      <c r="AD32" s="36" t="n"/>
      <c r="AE32" s="36" t="n"/>
      <c r="AF32" s="36" t="n"/>
      <c r="AG32" s="36" t="n"/>
      <c r="AH32" s="36" t="n"/>
      <c r="AI32" s="38" t="n"/>
      <c r="AJ32" s="36" t="n"/>
      <c r="AK32" s="36" t="n"/>
      <c r="AL32" s="36" t="n"/>
      <c r="AM32" s="36" t="n"/>
      <c r="AN32" s="36" t="n"/>
      <c r="AO32" s="35">
        <f>IF(NOT(COUNTA(A32:AN32)&gt;0),"",IF(TEXTJOIN(", ",TRUE,IF(B32="","Название",""),IF(C32="","Тип недвижимости",""),IF(D32="","Страна",""),IF(E32="","Город",""),IF(F32="","Улица",""),IF(I32="","Валюта",""),IF(OR(AI32="",AI32&lt;1),"Хотя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земли",""),IF(W32="","Формат долга",""),IF(OR(X32="",X32&lt;=0),"Сумма долга",""),IF(AND(W32="Долги + Аукцион",OR(Y32="",Y32&lt;=0)),"Продать сейчас",""),IF(AND(W32="Долги + Аукцион",OR(Z32="",Z32&lt;=0)),"Минимальная цена продажи",""),IF(AND(W32="Долги + Аукцион",OR(AA32="",AA32&lt;=0)),"Стартовая ставка",""),IF(AND(W32="Долги + Аукцион",AB32=""),"Начало аукциона",""),IF(AND(W32="Долги + Аукцион",AC32=""),"Окончание аукциона",""),IF(AND(W32="Долги + Аукцион",AND(Y32&lt;&gt;"",Z32&lt;&gt;"",Z32&gt;Y32)),"Минимальная цена выше «Продать сейчас»",""),IF(AND(W32="Долги + Аукцион",AND(Y32&lt;&gt;"",Z32&lt;&gt;"",Z32&lt;=Y32,Z32&gt;Y32*0.9)),"Минимальная цена выше 90% от «Продать сейчас»",""),IF(AND(W32="Долги + Аукцион",AND(Y32&lt;&gt;"",AA32&lt;&gt;"",AA32&gt;Y32*0.3)),"Стартовая ставка выше 30% от «Продать сейчас»",""),IF(AND(W32="Долги + Аукцион",AND(AB32&lt;&gt;"",AC32&lt;&gt;"",AC32&lt;EDATE(AB32,3)+15)),"Аукцион короче 3 месяцев и 15 дней",""))="","",TEXTJOIN(", ",TRUE,IF(B32="","Название",""),IF(C32="","Тип недвижимости",""),IF(D32="","Страна",""),IF(E32="","Город",""),IF(F32="","Улица",""),IF(I32="","Валюта",""),IF(OR(AI32="",AI32&lt;1),"Хотя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земли",""),IF(W32="","Формат долга",""),IF(OR(X32="",X32&lt;=0),"Сумма долга",""),IF(AND(W32="Долги + Аукцион",OR(Y32="",Y32&lt;=0)),"Продать сейчас",""),IF(AND(W32="Долги + Аукцион",OR(Z32="",Z32&lt;=0)),"Минимальная цена продажи",""),IF(AND(W32="Долги + Аукцион",OR(AA32="",AA32&lt;=0)),"Стартовая ставка",""),IF(AND(W32="Долги + Аукцион",AB32=""),"Начало аукциона",""),IF(AND(W32="Долги + Аукцион",AC32=""),"Окончание аукциона",""),IF(AND(W32="Долги + Аукцион",AND(Y32&lt;&gt;"",Z32&lt;&gt;"",Z32&gt;Y32)),"Минимальная цена выше «Продать сейчас»",""),IF(AND(W32="Долги + Аукцион",AND(Y32&lt;&gt;"",Z32&lt;&gt;"",Z32&lt;=Y32,Z32&gt;Y32*0.9)),"Минимальная цена выше 90% от «Продать сейчас»",""),IF(AND(W32="Долги + Аукцион",AND(Y32&lt;&gt;"",AA32&lt;&gt;"",AA32&gt;Y32*0.3)),"Стартовая ставка выше 30% от «Продать сейчас»",""),IF(AND(W32="Долги + Аукцион",AND(AB32&lt;&gt;"",AC32&lt;&gt;"",AC32&lt;EDATE(AB32,3)+15)),"Аукцион короче 3 месяцев и 15 дней",""))))</f>
        <v/>
      </c>
      <c r="AP32" s="35">
        <f>IF(NOT(COUNTA(A32:AN32)&gt;0),"",IF(TEXTJOIN(", ",TRUE,IF(AL32="","Описание",""),IF(AND(AI32&lt;&gt;"",AI32&gt;=1,AI32&lt;5),"Фото меньше 5",""),IF(AK32="","Видео",""),IF(H32="","Кадастровый номер",""),IF(AJ32="","Ссылка на фото",""),IF(OR(AD32="",AD32="Нет"),"Кредитный договор",""),IF(OR(AE32="",AE32="Нет"),"Нотариальная закладная",""),IF(OR(AF32="",AF32="Нет"),"Выписка из реестра",""),IF(OR(AG32="",AG32="Нет"),"Оценка объекта",""),IF(AH32="","Статус в суде",""))="","",TEXTJOIN(", ",TRUE,IF(AL32="","Описание",""),IF(AND(AI32&lt;&gt;"",AI32&gt;=1,AI32&lt;5),"Фото меньше 5",""),IF(AK32="","Видео",""),IF(H32="","Кадастровый номер",""),IF(AJ32="","Ссылка на фото",""),IF(OR(AD32="",AD32="Нет"),"Кредитный договор",""),IF(OR(AE32="",AE32="Нет"),"Нотариальная закладная",""),IF(OR(AF32="",AF32="Нет"),"Выписка из реестра",""),IF(OR(AG32="",AG32="Нет"),"Оценка объекта",""),IF(AH32="","Статус в суде",""))))</f>
        <v/>
      </c>
      <c r="AQ32" s="35">
        <f>IF(NOT(COUNTA(A32:AN32)&gt;0),"",IF(AO32="","Можно публиковать","Не хватает"))</f>
        <v/>
      </c>
    </row>
    <row r="33" ht="22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  <c r="K33" s="31" t="n"/>
      <c r="L33" s="31" t="n"/>
      <c r="M33" s="32" t="n"/>
      <c r="N33" s="32" t="n"/>
      <c r="O33" s="32" t="n"/>
      <c r="P33" s="32" t="n"/>
      <c r="Q33" s="32" t="n"/>
      <c r="R33" s="32" t="n"/>
      <c r="S33" s="30" t="n"/>
      <c r="T33" s="30" t="n"/>
      <c r="U33" s="30" t="n"/>
      <c r="V33" s="30" t="n"/>
      <c r="W33" s="30" t="n"/>
      <c r="X33" s="33" t="n"/>
      <c r="Y33" s="33" t="n"/>
      <c r="Z33" s="33" t="n"/>
      <c r="AA33" s="33" t="n"/>
      <c r="AB33" s="34" t="n"/>
      <c r="AC33" s="34" t="n"/>
      <c r="AD33" s="30" t="n"/>
      <c r="AE33" s="30" t="n"/>
      <c r="AF33" s="30" t="n"/>
      <c r="AG33" s="30" t="n"/>
      <c r="AH33" s="30" t="n"/>
      <c r="AI33" s="32" t="n"/>
      <c r="AJ33" s="30" t="n"/>
      <c r="AK33" s="30" t="n"/>
      <c r="AL33" s="30" t="n"/>
      <c r="AM33" s="30" t="n"/>
      <c r="AN33" s="30" t="n"/>
      <c r="AO33" s="35">
        <f>IF(NOT(COUNTA(A33:AN33)&gt;0),"",IF(TEXTJOIN(", ",TRUE,IF(B33="","Название",""),IF(C33="","Тип недвижимости",""),IF(D33="","Страна",""),IF(E33="","Город",""),IF(F33="","Улица",""),IF(I33="","Валюта",""),IF(OR(AI33="",AI33&lt;1),"Хотя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земли",""),IF(W33="","Формат долга",""),IF(OR(X33="",X33&lt;=0),"Сумма долга",""),IF(AND(W33="Долги + Аукцион",OR(Y33="",Y33&lt;=0)),"Продать сейчас",""),IF(AND(W33="Долги + Аукцион",OR(Z33="",Z33&lt;=0)),"Минимальная цена продажи",""),IF(AND(W33="Долги + Аукцион",OR(AA33="",AA33&lt;=0)),"Стартовая ставка",""),IF(AND(W33="Долги + Аукцион",AB33=""),"Начало аукциона",""),IF(AND(W33="Долги + Аукцион",AC33=""),"Окончание аукциона",""),IF(AND(W33="Долги + Аукцион",AND(Y33&lt;&gt;"",Z33&lt;&gt;"",Z33&gt;Y33)),"Минимальная цена выше «Продать сейчас»",""),IF(AND(W33="Долги + Аукцион",AND(Y33&lt;&gt;"",Z33&lt;&gt;"",Z33&lt;=Y33,Z33&gt;Y33*0.9)),"Минимальная цена выше 90% от «Продать сейчас»",""),IF(AND(W33="Долги + Аукцион",AND(Y33&lt;&gt;"",AA33&lt;&gt;"",AA33&gt;Y33*0.3)),"Стартовая ставка выше 30% от «Продать сейчас»",""),IF(AND(W33="Долги + Аукцион",AND(AB33&lt;&gt;"",AC33&lt;&gt;"",AC33&lt;EDATE(AB33,3)+15)),"Аукцион короче 3 месяцев и 15 дней",""))="","",TEXTJOIN(", ",TRUE,IF(B33="","Название",""),IF(C33="","Тип недвижимости",""),IF(D33="","Страна",""),IF(E33="","Город",""),IF(F33="","Улица",""),IF(I33="","Валюта",""),IF(OR(AI33="",AI33&lt;1),"Хотя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земли",""),IF(W33="","Формат долга",""),IF(OR(X33="",X33&lt;=0),"Сумма долга",""),IF(AND(W33="Долги + Аукцион",OR(Y33="",Y33&lt;=0)),"Продать сейчас",""),IF(AND(W33="Долги + Аукцион",OR(Z33="",Z33&lt;=0)),"Минимальная цена продажи",""),IF(AND(W33="Долги + Аукцион",OR(AA33="",AA33&lt;=0)),"Стартовая ставка",""),IF(AND(W33="Долги + Аукцион",AB33=""),"Начало аукциона",""),IF(AND(W33="Долги + Аукцион",AC33=""),"Окончание аукциона",""),IF(AND(W33="Долги + Аукцион",AND(Y33&lt;&gt;"",Z33&lt;&gt;"",Z33&gt;Y33)),"Минимальная цена выше «Продать сейчас»",""),IF(AND(W33="Долги + Аукцион",AND(Y33&lt;&gt;"",Z33&lt;&gt;"",Z33&lt;=Y33,Z33&gt;Y33*0.9)),"Минимальная цена выше 90% от «Продать сейчас»",""),IF(AND(W33="Долги + Аукцион",AND(Y33&lt;&gt;"",AA33&lt;&gt;"",AA33&gt;Y33*0.3)),"Стартовая ставка выше 30% от «Продать сейчас»",""),IF(AND(W33="Долги + Аукцион",AND(AB33&lt;&gt;"",AC33&lt;&gt;"",AC33&lt;EDATE(AB33,3)+15)),"Аукцион короче 3 месяцев и 15 дней",""))))</f>
        <v/>
      </c>
      <c r="AP33" s="35">
        <f>IF(NOT(COUNTA(A33:AN33)&gt;0),"",IF(TEXTJOIN(", ",TRUE,IF(AL33="","Описание",""),IF(AND(AI33&lt;&gt;"",AI33&gt;=1,AI33&lt;5),"Фото меньше 5",""),IF(AK33="","Видео",""),IF(H33="","Кадастровый номер",""),IF(AJ33="","Ссылка на фото",""),IF(OR(AD33="",AD33="Нет"),"Кредитный договор",""),IF(OR(AE33="",AE33="Нет"),"Нотариальная закладная",""),IF(OR(AF33="",AF33="Нет"),"Выписка из реестра",""),IF(OR(AG33="",AG33="Нет"),"Оценка объекта",""),IF(AH33="","Статус в суде",""))="","",TEXTJOIN(", ",TRUE,IF(AL33="","Описание",""),IF(AND(AI33&lt;&gt;"",AI33&gt;=1,AI33&lt;5),"Фото меньше 5",""),IF(AK33="","Видео",""),IF(H33="","Кадастровый номер",""),IF(AJ33="","Ссылка на фото",""),IF(OR(AD33="",AD33="Нет"),"Кредитный договор",""),IF(OR(AE33="",AE33="Нет"),"Нотариальная закладная",""),IF(OR(AF33="",AF33="Нет"),"Выписка из реестра",""),IF(OR(AG33="",AG33="Нет"),"Оценка объекта",""),IF(AH33="","Статус в суде",""))))</f>
        <v/>
      </c>
      <c r="AQ33" s="35">
        <f>IF(NOT(COUNTA(A33:AN33)&gt;0),"",IF(AO33="","Можно публиковать","Не хватает"))</f>
        <v/>
      </c>
    </row>
    <row r="34" ht="22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7" t="n"/>
      <c r="K34" s="37" t="n"/>
      <c r="L34" s="37" t="n"/>
      <c r="M34" s="38" t="n"/>
      <c r="N34" s="38" t="n"/>
      <c r="O34" s="38" t="n"/>
      <c r="P34" s="38" t="n"/>
      <c r="Q34" s="38" t="n"/>
      <c r="R34" s="38" t="n"/>
      <c r="S34" s="36" t="n"/>
      <c r="T34" s="36" t="n"/>
      <c r="U34" s="36" t="n"/>
      <c r="V34" s="36" t="n"/>
      <c r="W34" s="36" t="n"/>
      <c r="X34" s="39" t="n"/>
      <c r="Y34" s="39" t="n"/>
      <c r="Z34" s="39" t="n"/>
      <c r="AA34" s="39" t="n"/>
      <c r="AB34" s="40" t="n"/>
      <c r="AC34" s="40" t="n"/>
      <c r="AD34" s="36" t="n"/>
      <c r="AE34" s="36" t="n"/>
      <c r="AF34" s="36" t="n"/>
      <c r="AG34" s="36" t="n"/>
      <c r="AH34" s="36" t="n"/>
      <c r="AI34" s="38" t="n"/>
      <c r="AJ34" s="36" t="n"/>
      <c r="AK34" s="36" t="n"/>
      <c r="AL34" s="36" t="n"/>
      <c r="AM34" s="36" t="n"/>
      <c r="AN34" s="36" t="n"/>
      <c r="AO34" s="35">
        <f>IF(NOT(COUNTA(A34:AN34)&gt;0),"",IF(TEXTJOIN(", ",TRUE,IF(B34="","Название",""),IF(C34="","Тип недвижимости",""),IF(D34="","Страна",""),IF(E34="","Город",""),IF(F34="","Улица",""),IF(I34="","Валюта",""),IF(OR(AI34="",AI34&lt;1),"Хотя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земли",""),IF(W34="","Формат долга",""),IF(OR(X34="",X34&lt;=0),"Сумма долга",""),IF(AND(W34="Долги + Аукцион",OR(Y34="",Y34&lt;=0)),"Продать сейчас",""),IF(AND(W34="Долги + Аукцион",OR(Z34="",Z34&lt;=0)),"Минимальная цена продажи",""),IF(AND(W34="Долги + Аукцион",OR(AA34="",AA34&lt;=0)),"Стартовая ставка",""),IF(AND(W34="Долги + Аукцион",AB34=""),"Начало аукциона",""),IF(AND(W34="Долги + Аукцион",AC34=""),"Окончание аукциона",""),IF(AND(W34="Долги + Аукцион",AND(Y34&lt;&gt;"",Z34&lt;&gt;"",Z34&gt;Y34)),"Минимальная цена выше «Продать сейчас»",""),IF(AND(W34="Долги + Аукцион",AND(Y34&lt;&gt;"",Z34&lt;&gt;"",Z34&lt;=Y34,Z34&gt;Y34*0.9)),"Минимальная цена выше 90% от «Продать сейчас»",""),IF(AND(W34="Долги + Аукцион",AND(Y34&lt;&gt;"",AA34&lt;&gt;"",AA34&gt;Y34*0.3)),"Стартовая ставка выше 30% от «Продать сейчас»",""),IF(AND(W34="Долги + Аукцион",AND(AB34&lt;&gt;"",AC34&lt;&gt;"",AC34&lt;EDATE(AB34,3)+15)),"Аукцион короче 3 месяцев и 15 дней",""))="","",TEXTJOIN(", ",TRUE,IF(B34="","Название",""),IF(C34="","Тип недвижимости",""),IF(D34="","Страна",""),IF(E34="","Город",""),IF(F34="","Улица",""),IF(I34="","Валюта",""),IF(OR(AI34="",AI34&lt;1),"Хотя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земли",""),IF(W34="","Формат долга",""),IF(OR(X34="",X34&lt;=0),"Сумма долга",""),IF(AND(W34="Долги + Аукцион",OR(Y34="",Y34&lt;=0)),"Продать сейчас",""),IF(AND(W34="Долги + Аукцион",OR(Z34="",Z34&lt;=0)),"Минимальная цена продажи",""),IF(AND(W34="Долги + Аукцион",OR(AA34="",AA34&lt;=0)),"Стартовая ставка",""),IF(AND(W34="Долги + Аукцион",AB34=""),"Начало аукциона",""),IF(AND(W34="Долги + Аукцион",AC34=""),"Окончание аукциона",""),IF(AND(W34="Долги + Аукцион",AND(Y34&lt;&gt;"",Z34&lt;&gt;"",Z34&gt;Y34)),"Минимальная цена выше «Продать сейчас»",""),IF(AND(W34="Долги + Аукцион",AND(Y34&lt;&gt;"",Z34&lt;&gt;"",Z34&lt;=Y34,Z34&gt;Y34*0.9)),"Минимальная цена выше 90% от «Продать сейчас»",""),IF(AND(W34="Долги + Аукцион",AND(Y34&lt;&gt;"",AA34&lt;&gt;"",AA34&gt;Y34*0.3)),"Стартовая ставка выше 30% от «Продать сейчас»",""),IF(AND(W34="Долги + Аукцион",AND(AB34&lt;&gt;"",AC34&lt;&gt;"",AC34&lt;EDATE(AB34,3)+15)),"Аукцион короче 3 месяцев и 15 дней",""))))</f>
        <v/>
      </c>
      <c r="AP34" s="35">
        <f>IF(NOT(COUNTA(A34:AN34)&gt;0),"",IF(TEXTJOIN(", ",TRUE,IF(AL34="","Описание",""),IF(AND(AI34&lt;&gt;"",AI34&gt;=1,AI34&lt;5),"Фото меньше 5",""),IF(AK34="","Видео",""),IF(H34="","Кадастровый номер",""),IF(AJ34="","Ссылка на фото",""),IF(OR(AD34="",AD34="Нет"),"Кредитный договор",""),IF(OR(AE34="",AE34="Нет"),"Нотариальная закладная",""),IF(OR(AF34="",AF34="Нет"),"Выписка из реестра",""),IF(OR(AG34="",AG34="Нет"),"Оценка объекта",""),IF(AH34="","Статус в суде",""))="","",TEXTJOIN(", ",TRUE,IF(AL34="","Описание",""),IF(AND(AI34&lt;&gt;"",AI34&gt;=1,AI34&lt;5),"Фото меньше 5",""),IF(AK34="","Видео",""),IF(H34="","Кадастровый номер",""),IF(AJ34="","Ссылка на фото",""),IF(OR(AD34="",AD34="Нет"),"Кредитный договор",""),IF(OR(AE34="",AE34="Нет"),"Нотариальная закладная",""),IF(OR(AF34="",AF34="Нет"),"Выписка из реестра",""),IF(OR(AG34="",AG34="Нет"),"Оценка объекта",""),IF(AH34="","Статус в суде",""))))</f>
        <v/>
      </c>
      <c r="AQ34" s="35">
        <f>IF(NOT(COUNTA(A34:AN34)&gt;0),"",IF(AO34="","Можно публиковать","Не хватает"))</f>
        <v/>
      </c>
    </row>
    <row r="35" ht="22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 t="n"/>
      <c r="K35" s="31" t="n"/>
      <c r="L35" s="31" t="n"/>
      <c r="M35" s="32" t="n"/>
      <c r="N35" s="32" t="n"/>
      <c r="O35" s="32" t="n"/>
      <c r="P35" s="32" t="n"/>
      <c r="Q35" s="32" t="n"/>
      <c r="R35" s="32" t="n"/>
      <c r="S35" s="30" t="n"/>
      <c r="T35" s="30" t="n"/>
      <c r="U35" s="30" t="n"/>
      <c r="V35" s="30" t="n"/>
      <c r="W35" s="30" t="n"/>
      <c r="X35" s="33" t="n"/>
      <c r="Y35" s="33" t="n"/>
      <c r="Z35" s="33" t="n"/>
      <c r="AA35" s="33" t="n"/>
      <c r="AB35" s="34" t="n"/>
      <c r="AC35" s="34" t="n"/>
      <c r="AD35" s="30" t="n"/>
      <c r="AE35" s="30" t="n"/>
      <c r="AF35" s="30" t="n"/>
      <c r="AG35" s="30" t="n"/>
      <c r="AH35" s="30" t="n"/>
      <c r="AI35" s="32" t="n"/>
      <c r="AJ35" s="30" t="n"/>
      <c r="AK35" s="30" t="n"/>
      <c r="AL35" s="30" t="n"/>
      <c r="AM35" s="30" t="n"/>
      <c r="AN35" s="30" t="n"/>
      <c r="AO35" s="35">
        <f>IF(NOT(COUNTA(A35:AN35)&gt;0),"",IF(TEXTJOIN(", ",TRUE,IF(B35="","Название",""),IF(C35="","Тип недвижимости",""),IF(D35="","Страна",""),IF(E35="","Город",""),IF(F35="","Улица",""),IF(I35="","Валюта",""),IF(OR(AI35="",AI35&lt;1),"Хотя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земли",""),IF(W35="","Формат долга",""),IF(OR(X35="",X35&lt;=0),"Сумма долга",""),IF(AND(W35="Долги + Аукцион",OR(Y35="",Y35&lt;=0)),"Продать сейчас",""),IF(AND(W35="Долги + Аукцион",OR(Z35="",Z35&lt;=0)),"Минимальная цена продажи",""),IF(AND(W35="Долги + Аукцион",OR(AA35="",AA35&lt;=0)),"Стартовая ставка",""),IF(AND(W35="Долги + Аукцион",AB35=""),"Начало аукциона",""),IF(AND(W35="Долги + Аукцион",AC35=""),"Окончание аукциона",""),IF(AND(W35="Долги + Аукцион",AND(Y35&lt;&gt;"",Z35&lt;&gt;"",Z35&gt;Y35)),"Минимальная цена выше «Продать сейчас»",""),IF(AND(W35="Долги + Аукцион",AND(Y35&lt;&gt;"",Z35&lt;&gt;"",Z35&lt;=Y35,Z35&gt;Y35*0.9)),"Минимальная цена выше 90% от «Продать сейчас»",""),IF(AND(W35="Долги + Аукцион",AND(Y35&lt;&gt;"",AA35&lt;&gt;"",AA35&gt;Y35*0.3)),"Стартовая ставка выше 30% от «Продать сейчас»",""),IF(AND(W35="Долги + Аукцион",AND(AB35&lt;&gt;"",AC35&lt;&gt;"",AC35&lt;EDATE(AB35,3)+15)),"Аукцион короче 3 месяцев и 15 дней",""))="","",TEXTJOIN(", ",TRUE,IF(B35="","Название",""),IF(C35="","Тип недвижимости",""),IF(D35="","Страна",""),IF(E35="","Город",""),IF(F35="","Улица",""),IF(I35="","Валюта",""),IF(OR(AI35="",AI35&lt;1),"Хотя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земли",""),IF(W35="","Формат долга",""),IF(OR(X35="",X35&lt;=0),"Сумма долга",""),IF(AND(W35="Долги + Аукцион",OR(Y35="",Y35&lt;=0)),"Продать сейчас",""),IF(AND(W35="Долги + Аукцион",OR(Z35="",Z35&lt;=0)),"Минимальная цена продажи",""),IF(AND(W35="Долги + Аукцион",OR(AA35="",AA35&lt;=0)),"Стартовая ставка",""),IF(AND(W35="Долги + Аукцион",AB35=""),"Начало аукциона",""),IF(AND(W35="Долги + Аукцион",AC35=""),"Окончание аукциона",""),IF(AND(W35="Долги + Аукцион",AND(Y35&lt;&gt;"",Z35&lt;&gt;"",Z35&gt;Y35)),"Минимальная цена выше «Продать сейчас»",""),IF(AND(W35="Долги + Аукцион",AND(Y35&lt;&gt;"",Z35&lt;&gt;"",Z35&lt;=Y35,Z35&gt;Y35*0.9)),"Минимальная цена выше 90% от «Продать сейчас»",""),IF(AND(W35="Долги + Аукцион",AND(Y35&lt;&gt;"",AA35&lt;&gt;"",AA35&gt;Y35*0.3)),"Стартовая ставка выше 30% от «Продать сейчас»",""),IF(AND(W35="Долги + Аукцион",AND(AB35&lt;&gt;"",AC35&lt;&gt;"",AC35&lt;EDATE(AB35,3)+15)),"Аукцион короче 3 месяцев и 15 дней",""))))</f>
        <v/>
      </c>
      <c r="AP35" s="35">
        <f>IF(NOT(COUNTA(A35:AN35)&gt;0),"",IF(TEXTJOIN(", ",TRUE,IF(AL35="","Описание",""),IF(AND(AI35&lt;&gt;"",AI35&gt;=1,AI35&lt;5),"Фото меньше 5",""),IF(AK35="","Видео",""),IF(H35="","Кадастровый номер",""),IF(AJ35="","Ссылка на фото",""),IF(OR(AD35="",AD35="Нет"),"Кредитный договор",""),IF(OR(AE35="",AE35="Нет"),"Нотариальная закладная",""),IF(OR(AF35="",AF35="Нет"),"Выписка из реестра",""),IF(OR(AG35="",AG35="Нет"),"Оценка объекта",""),IF(AH35="","Статус в суде",""))="","",TEXTJOIN(", ",TRUE,IF(AL35="","Описание",""),IF(AND(AI35&lt;&gt;"",AI35&gt;=1,AI35&lt;5),"Фото меньше 5",""),IF(AK35="","Видео",""),IF(H35="","Кадастровый номер",""),IF(AJ35="","Ссылка на фото",""),IF(OR(AD35="",AD35="Нет"),"Кредитный договор",""),IF(OR(AE35="",AE35="Нет"),"Нотариальная закладная",""),IF(OR(AF35="",AF35="Нет"),"Выписка из реестра",""),IF(OR(AG35="",AG35="Нет"),"Оценка объекта",""),IF(AH35="","Статус в суде",""))))</f>
        <v/>
      </c>
      <c r="AQ35" s="35">
        <f>IF(NOT(COUNTA(A35:AN35)&gt;0),"",IF(AO35="","Можно публиковать","Не хватает"))</f>
        <v/>
      </c>
    </row>
    <row r="36" ht="22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7" t="n"/>
      <c r="K36" s="37" t="n"/>
      <c r="L36" s="37" t="n"/>
      <c r="M36" s="38" t="n"/>
      <c r="N36" s="38" t="n"/>
      <c r="O36" s="38" t="n"/>
      <c r="P36" s="38" t="n"/>
      <c r="Q36" s="38" t="n"/>
      <c r="R36" s="38" t="n"/>
      <c r="S36" s="36" t="n"/>
      <c r="T36" s="36" t="n"/>
      <c r="U36" s="36" t="n"/>
      <c r="V36" s="36" t="n"/>
      <c r="W36" s="36" t="n"/>
      <c r="X36" s="39" t="n"/>
      <c r="Y36" s="39" t="n"/>
      <c r="Z36" s="39" t="n"/>
      <c r="AA36" s="39" t="n"/>
      <c r="AB36" s="40" t="n"/>
      <c r="AC36" s="40" t="n"/>
      <c r="AD36" s="36" t="n"/>
      <c r="AE36" s="36" t="n"/>
      <c r="AF36" s="36" t="n"/>
      <c r="AG36" s="36" t="n"/>
      <c r="AH36" s="36" t="n"/>
      <c r="AI36" s="38" t="n"/>
      <c r="AJ36" s="36" t="n"/>
      <c r="AK36" s="36" t="n"/>
      <c r="AL36" s="36" t="n"/>
      <c r="AM36" s="36" t="n"/>
      <c r="AN36" s="36" t="n"/>
      <c r="AO36" s="35">
        <f>IF(NOT(COUNTA(A36:AN36)&gt;0),"",IF(TEXTJOIN(", ",TRUE,IF(B36="","Название",""),IF(C36="","Тип недвижимости",""),IF(D36="","Страна",""),IF(E36="","Город",""),IF(F36="","Улица",""),IF(I36="","Валюта",""),IF(OR(AI36="",AI36&lt;1),"Хотя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земли",""),IF(W36="","Формат долга",""),IF(OR(X36="",X36&lt;=0),"Сумма долга",""),IF(AND(W36="Долги + Аукцион",OR(Y36="",Y36&lt;=0)),"Продать сейчас",""),IF(AND(W36="Долги + Аукцион",OR(Z36="",Z36&lt;=0)),"Минимальная цена продажи",""),IF(AND(W36="Долги + Аукцион",OR(AA36="",AA36&lt;=0)),"Стартовая ставка",""),IF(AND(W36="Долги + Аукцион",AB36=""),"Начало аукциона",""),IF(AND(W36="Долги + Аукцион",AC36=""),"Окончание аукциона",""),IF(AND(W36="Долги + Аукцион",AND(Y36&lt;&gt;"",Z36&lt;&gt;"",Z36&gt;Y36)),"Минимальная цена выше «Продать сейчас»",""),IF(AND(W36="Долги + Аукцион",AND(Y36&lt;&gt;"",Z36&lt;&gt;"",Z36&lt;=Y36,Z36&gt;Y36*0.9)),"Минимальная цена выше 90% от «Продать сейчас»",""),IF(AND(W36="Долги + Аукцион",AND(Y36&lt;&gt;"",AA36&lt;&gt;"",AA36&gt;Y36*0.3)),"Стартовая ставка выше 30% от «Продать сейчас»",""),IF(AND(W36="Долги + Аукцион",AND(AB36&lt;&gt;"",AC36&lt;&gt;"",AC36&lt;EDATE(AB36,3)+15)),"Аукцион короче 3 месяцев и 15 дней",""))="","",TEXTJOIN(", ",TRUE,IF(B36="","Название",""),IF(C36="","Тип недвижимости",""),IF(D36="","Страна",""),IF(E36="","Город",""),IF(F36="","Улица",""),IF(I36="","Валюта",""),IF(OR(AI36="",AI36&lt;1),"Хотя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земли",""),IF(W36="","Формат долга",""),IF(OR(X36="",X36&lt;=0),"Сумма долга",""),IF(AND(W36="Долги + Аукцион",OR(Y36="",Y36&lt;=0)),"Продать сейчас",""),IF(AND(W36="Долги + Аукцион",OR(Z36="",Z36&lt;=0)),"Минимальная цена продажи",""),IF(AND(W36="Долги + Аукцион",OR(AA36="",AA36&lt;=0)),"Стартовая ставка",""),IF(AND(W36="Долги + Аукцион",AB36=""),"Начало аукциона",""),IF(AND(W36="Долги + Аукцион",AC36=""),"Окончание аукциона",""),IF(AND(W36="Долги + Аукцион",AND(Y36&lt;&gt;"",Z36&lt;&gt;"",Z36&gt;Y36)),"Минимальная цена выше «Продать сейчас»",""),IF(AND(W36="Долги + Аукцион",AND(Y36&lt;&gt;"",Z36&lt;&gt;"",Z36&lt;=Y36,Z36&gt;Y36*0.9)),"Минимальная цена выше 90% от «Продать сейчас»",""),IF(AND(W36="Долги + Аукцион",AND(Y36&lt;&gt;"",AA36&lt;&gt;"",AA36&gt;Y36*0.3)),"Стартовая ставка выше 30% от «Продать сейчас»",""),IF(AND(W36="Долги + Аукцион",AND(AB36&lt;&gt;"",AC36&lt;&gt;"",AC36&lt;EDATE(AB36,3)+15)),"Аукцион короче 3 месяцев и 15 дней",""))))</f>
        <v/>
      </c>
      <c r="AP36" s="35">
        <f>IF(NOT(COUNTA(A36:AN36)&gt;0),"",IF(TEXTJOIN(", ",TRUE,IF(AL36="","Описание",""),IF(AND(AI36&lt;&gt;"",AI36&gt;=1,AI36&lt;5),"Фото меньше 5",""),IF(AK36="","Видео",""),IF(H36="","Кадастровый номер",""),IF(AJ36="","Ссылка на фото",""),IF(OR(AD36="",AD36="Нет"),"Кредитный договор",""),IF(OR(AE36="",AE36="Нет"),"Нотариальная закладная",""),IF(OR(AF36="",AF36="Нет"),"Выписка из реестра",""),IF(OR(AG36="",AG36="Нет"),"Оценка объекта",""),IF(AH36="","Статус в суде",""))="","",TEXTJOIN(", ",TRUE,IF(AL36="","Описание",""),IF(AND(AI36&lt;&gt;"",AI36&gt;=1,AI36&lt;5),"Фото меньше 5",""),IF(AK36="","Видео",""),IF(H36="","Кадастровый номер",""),IF(AJ36="","Ссылка на фото",""),IF(OR(AD36="",AD36="Нет"),"Кредитный договор",""),IF(OR(AE36="",AE36="Нет"),"Нотариальная закладная",""),IF(OR(AF36="",AF36="Нет"),"Выписка из реестра",""),IF(OR(AG36="",AG36="Нет"),"Оценка объекта",""),IF(AH36="","Статус в суде",""))))</f>
        <v/>
      </c>
      <c r="AQ36" s="35">
        <f>IF(NOT(COUNTA(A36:AN36)&gt;0),"",IF(AO36="","Можно публиковать","Не хватает"))</f>
        <v/>
      </c>
    </row>
    <row r="37" ht="22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  <c r="K37" s="31" t="n"/>
      <c r="L37" s="31" t="n"/>
      <c r="M37" s="32" t="n"/>
      <c r="N37" s="32" t="n"/>
      <c r="O37" s="32" t="n"/>
      <c r="P37" s="32" t="n"/>
      <c r="Q37" s="32" t="n"/>
      <c r="R37" s="32" t="n"/>
      <c r="S37" s="30" t="n"/>
      <c r="T37" s="30" t="n"/>
      <c r="U37" s="30" t="n"/>
      <c r="V37" s="30" t="n"/>
      <c r="W37" s="30" t="n"/>
      <c r="X37" s="33" t="n"/>
      <c r="Y37" s="33" t="n"/>
      <c r="Z37" s="33" t="n"/>
      <c r="AA37" s="33" t="n"/>
      <c r="AB37" s="34" t="n"/>
      <c r="AC37" s="34" t="n"/>
      <c r="AD37" s="30" t="n"/>
      <c r="AE37" s="30" t="n"/>
      <c r="AF37" s="30" t="n"/>
      <c r="AG37" s="30" t="n"/>
      <c r="AH37" s="30" t="n"/>
      <c r="AI37" s="32" t="n"/>
      <c r="AJ37" s="30" t="n"/>
      <c r="AK37" s="30" t="n"/>
      <c r="AL37" s="30" t="n"/>
      <c r="AM37" s="30" t="n"/>
      <c r="AN37" s="30" t="n"/>
      <c r="AO37" s="35">
        <f>IF(NOT(COUNTA(A37:AN37)&gt;0),"",IF(TEXTJOIN(", ",TRUE,IF(B37="","Название",""),IF(C37="","Тип недвижимости",""),IF(D37="","Страна",""),IF(E37="","Город",""),IF(F37="","Улица",""),IF(I37="","Валюта",""),IF(OR(AI37="",AI37&lt;1),"Хотя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земли",""),IF(W37="","Формат долга",""),IF(OR(X37="",X37&lt;=0),"Сумма долга",""),IF(AND(W37="Долги + Аукцион",OR(Y37="",Y37&lt;=0)),"Продать сейчас",""),IF(AND(W37="Долги + Аукцион",OR(Z37="",Z37&lt;=0)),"Минимальная цена продажи",""),IF(AND(W37="Долги + Аукцион",OR(AA37="",AA37&lt;=0)),"Стартовая ставка",""),IF(AND(W37="Долги + Аукцион",AB37=""),"Начало аукциона",""),IF(AND(W37="Долги + Аукцион",AC37=""),"Окончание аукциона",""),IF(AND(W37="Долги + Аукцион",AND(Y37&lt;&gt;"",Z37&lt;&gt;"",Z37&gt;Y37)),"Минимальная цена выше «Продать сейчас»",""),IF(AND(W37="Долги + Аукцион",AND(Y37&lt;&gt;"",Z37&lt;&gt;"",Z37&lt;=Y37,Z37&gt;Y37*0.9)),"Минимальная цена выше 90% от «Продать сейчас»",""),IF(AND(W37="Долги + Аукцион",AND(Y37&lt;&gt;"",AA37&lt;&gt;"",AA37&gt;Y37*0.3)),"Стартовая ставка выше 30% от «Продать сейчас»",""),IF(AND(W37="Долги + Аукцион",AND(AB37&lt;&gt;"",AC37&lt;&gt;"",AC37&lt;EDATE(AB37,3)+15)),"Аукцион короче 3 месяцев и 15 дней",""))="","",TEXTJOIN(", ",TRUE,IF(B37="","Название",""),IF(C37="","Тип недвижимости",""),IF(D37="","Страна",""),IF(E37="","Город",""),IF(F37="","Улица",""),IF(I37="","Валюта",""),IF(OR(AI37="",AI37&lt;1),"Хотя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земли",""),IF(W37="","Формат долга",""),IF(OR(X37="",X37&lt;=0),"Сумма долга",""),IF(AND(W37="Долги + Аукцион",OR(Y37="",Y37&lt;=0)),"Продать сейчас",""),IF(AND(W37="Долги + Аукцион",OR(Z37="",Z37&lt;=0)),"Минимальная цена продажи",""),IF(AND(W37="Долги + Аукцион",OR(AA37="",AA37&lt;=0)),"Стартовая ставка",""),IF(AND(W37="Долги + Аукцион",AB37=""),"Начало аукциона",""),IF(AND(W37="Долги + Аукцион",AC37=""),"Окончание аукциона",""),IF(AND(W37="Долги + Аукцион",AND(Y37&lt;&gt;"",Z37&lt;&gt;"",Z37&gt;Y37)),"Минимальная цена выше «Продать сейчас»",""),IF(AND(W37="Долги + Аукцион",AND(Y37&lt;&gt;"",Z37&lt;&gt;"",Z37&lt;=Y37,Z37&gt;Y37*0.9)),"Минимальная цена выше 90% от «Продать сейчас»",""),IF(AND(W37="Долги + Аукцион",AND(Y37&lt;&gt;"",AA37&lt;&gt;"",AA37&gt;Y37*0.3)),"Стартовая ставка выше 30% от «Продать сейчас»",""),IF(AND(W37="Долги + Аукцион",AND(AB37&lt;&gt;"",AC37&lt;&gt;"",AC37&lt;EDATE(AB37,3)+15)),"Аукцион короче 3 месяцев и 15 дней",""))))</f>
        <v/>
      </c>
      <c r="AP37" s="35">
        <f>IF(NOT(COUNTA(A37:AN37)&gt;0),"",IF(TEXTJOIN(", ",TRUE,IF(AL37="","Описание",""),IF(AND(AI37&lt;&gt;"",AI37&gt;=1,AI37&lt;5),"Фото меньше 5",""),IF(AK37="","Видео",""),IF(H37="","Кадастровый номер",""),IF(AJ37="","Ссылка на фото",""),IF(OR(AD37="",AD37="Нет"),"Кредитный договор",""),IF(OR(AE37="",AE37="Нет"),"Нотариальная закладная",""),IF(OR(AF37="",AF37="Нет"),"Выписка из реестра",""),IF(OR(AG37="",AG37="Нет"),"Оценка объекта",""),IF(AH37="","Статус в суде",""))="","",TEXTJOIN(", ",TRUE,IF(AL37="","Описание",""),IF(AND(AI37&lt;&gt;"",AI37&gt;=1,AI37&lt;5),"Фото меньше 5",""),IF(AK37="","Видео",""),IF(H37="","Кадастровый номер",""),IF(AJ37="","Ссылка на фото",""),IF(OR(AD37="",AD37="Нет"),"Кредитный договор",""),IF(OR(AE37="",AE37="Нет"),"Нотариальная закладная",""),IF(OR(AF37="",AF37="Нет"),"Выписка из реестра",""),IF(OR(AG37="",AG37="Нет"),"Оценка объекта",""),IF(AH37="","Статус в суде",""))))</f>
        <v/>
      </c>
      <c r="AQ37" s="35">
        <f>IF(NOT(COUNTA(A37:AN37)&gt;0),"",IF(AO37="","Можно публиковать","Не хватает"))</f>
        <v/>
      </c>
    </row>
    <row r="38" ht="22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7" t="n"/>
      <c r="K38" s="37" t="n"/>
      <c r="L38" s="37" t="n"/>
      <c r="M38" s="38" t="n"/>
      <c r="N38" s="38" t="n"/>
      <c r="O38" s="38" t="n"/>
      <c r="P38" s="38" t="n"/>
      <c r="Q38" s="38" t="n"/>
      <c r="R38" s="38" t="n"/>
      <c r="S38" s="36" t="n"/>
      <c r="T38" s="36" t="n"/>
      <c r="U38" s="36" t="n"/>
      <c r="V38" s="36" t="n"/>
      <c r="W38" s="36" t="n"/>
      <c r="X38" s="39" t="n"/>
      <c r="Y38" s="39" t="n"/>
      <c r="Z38" s="39" t="n"/>
      <c r="AA38" s="39" t="n"/>
      <c r="AB38" s="40" t="n"/>
      <c r="AC38" s="40" t="n"/>
      <c r="AD38" s="36" t="n"/>
      <c r="AE38" s="36" t="n"/>
      <c r="AF38" s="36" t="n"/>
      <c r="AG38" s="36" t="n"/>
      <c r="AH38" s="36" t="n"/>
      <c r="AI38" s="38" t="n"/>
      <c r="AJ38" s="36" t="n"/>
      <c r="AK38" s="36" t="n"/>
      <c r="AL38" s="36" t="n"/>
      <c r="AM38" s="36" t="n"/>
      <c r="AN38" s="36" t="n"/>
      <c r="AO38" s="35">
        <f>IF(NOT(COUNTA(A38:AN38)&gt;0),"",IF(TEXTJOIN(", ",TRUE,IF(B38="","Название",""),IF(C38="","Тип недвижимости",""),IF(D38="","Страна",""),IF(E38="","Город",""),IF(F38="","Улица",""),IF(I38="","Валюта",""),IF(OR(AI38="",AI38&lt;1),"Хотя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земли",""),IF(W38="","Формат долга",""),IF(OR(X38="",X38&lt;=0),"Сумма долга",""),IF(AND(W38="Долги + Аукцион",OR(Y38="",Y38&lt;=0)),"Продать сейчас",""),IF(AND(W38="Долги + Аукцион",OR(Z38="",Z38&lt;=0)),"Минимальная цена продажи",""),IF(AND(W38="Долги + Аукцион",OR(AA38="",AA38&lt;=0)),"Стартовая ставка",""),IF(AND(W38="Долги + Аукцион",AB38=""),"Начало аукциона",""),IF(AND(W38="Долги + Аукцион",AC38=""),"Окончание аукциона",""),IF(AND(W38="Долги + Аукцион",AND(Y38&lt;&gt;"",Z38&lt;&gt;"",Z38&gt;Y38)),"Минимальная цена выше «Продать сейчас»",""),IF(AND(W38="Долги + Аукцион",AND(Y38&lt;&gt;"",Z38&lt;&gt;"",Z38&lt;=Y38,Z38&gt;Y38*0.9)),"Минимальная цена выше 90% от «Продать сейчас»",""),IF(AND(W38="Долги + Аукцион",AND(Y38&lt;&gt;"",AA38&lt;&gt;"",AA38&gt;Y38*0.3)),"Стартовая ставка выше 30% от «Продать сейчас»",""),IF(AND(W38="Долги + Аукцион",AND(AB38&lt;&gt;"",AC38&lt;&gt;"",AC38&lt;EDATE(AB38,3)+15)),"Аукцион короче 3 месяцев и 15 дней",""))="","",TEXTJOIN(", ",TRUE,IF(B38="","Название",""),IF(C38="","Тип недвижимости",""),IF(D38="","Страна",""),IF(E38="","Город",""),IF(F38="","Улица",""),IF(I38="","Валюта",""),IF(OR(AI38="",AI38&lt;1),"Хотя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земли",""),IF(W38="","Формат долга",""),IF(OR(X38="",X38&lt;=0),"Сумма долга",""),IF(AND(W38="Долги + Аукцион",OR(Y38="",Y38&lt;=0)),"Продать сейчас",""),IF(AND(W38="Долги + Аукцион",OR(Z38="",Z38&lt;=0)),"Минимальная цена продажи",""),IF(AND(W38="Долги + Аукцион",OR(AA38="",AA38&lt;=0)),"Стартовая ставка",""),IF(AND(W38="Долги + Аукцион",AB38=""),"Начало аукциона",""),IF(AND(W38="Долги + Аукцион",AC38=""),"Окончание аукциона",""),IF(AND(W38="Долги + Аукцион",AND(Y38&lt;&gt;"",Z38&lt;&gt;"",Z38&gt;Y38)),"Минимальная цена выше «Продать сейчас»",""),IF(AND(W38="Долги + Аукцион",AND(Y38&lt;&gt;"",Z38&lt;&gt;"",Z38&lt;=Y38,Z38&gt;Y38*0.9)),"Минимальная цена выше 90% от «Продать сейчас»",""),IF(AND(W38="Долги + Аукцион",AND(Y38&lt;&gt;"",AA38&lt;&gt;"",AA38&gt;Y38*0.3)),"Стартовая ставка выше 30% от «Продать сейчас»",""),IF(AND(W38="Долги + Аукцион",AND(AB38&lt;&gt;"",AC38&lt;&gt;"",AC38&lt;EDATE(AB38,3)+15)),"Аукцион короче 3 месяцев и 15 дней",""))))</f>
        <v/>
      </c>
      <c r="AP38" s="35">
        <f>IF(NOT(COUNTA(A38:AN38)&gt;0),"",IF(TEXTJOIN(", ",TRUE,IF(AL38="","Описание",""),IF(AND(AI38&lt;&gt;"",AI38&gt;=1,AI38&lt;5),"Фото меньше 5",""),IF(AK38="","Видео",""),IF(H38="","Кадастровый номер",""),IF(AJ38="","Ссылка на фото",""),IF(OR(AD38="",AD38="Нет"),"Кредитный договор",""),IF(OR(AE38="",AE38="Нет"),"Нотариальная закладная",""),IF(OR(AF38="",AF38="Нет"),"Выписка из реестра",""),IF(OR(AG38="",AG38="Нет"),"Оценка объекта",""),IF(AH38="","Статус в суде",""))="","",TEXTJOIN(", ",TRUE,IF(AL38="","Описание",""),IF(AND(AI38&lt;&gt;"",AI38&gt;=1,AI38&lt;5),"Фото меньше 5",""),IF(AK38="","Видео",""),IF(H38="","Кадастровый номер",""),IF(AJ38="","Ссылка на фото",""),IF(OR(AD38="",AD38="Нет"),"Кредитный договор",""),IF(OR(AE38="",AE38="Нет"),"Нотариальная закладная",""),IF(OR(AF38="",AF38="Нет"),"Выписка из реестра",""),IF(OR(AG38="",AG38="Нет"),"Оценка объекта",""),IF(AH38="","Статус в суде",""))))</f>
        <v/>
      </c>
      <c r="AQ38" s="35">
        <f>IF(NOT(COUNTA(A38:AN38)&gt;0),"",IF(AO38="","Можно публиковать","Не хватает"))</f>
        <v/>
      </c>
    </row>
    <row r="39" ht="22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 t="n"/>
      <c r="K39" s="31" t="n"/>
      <c r="L39" s="31" t="n"/>
      <c r="M39" s="32" t="n"/>
      <c r="N39" s="32" t="n"/>
      <c r="O39" s="32" t="n"/>
      <c r="P39" s="32" t="n"/>
      <c r="Q39" s="32" t="n"/>
      <c r="R39" s="32" t="n"/>
      <c r="S39" s="30" t="n"/>
      <c r="T39" s="30" t="n"/>
      <c r="U39" s="30" t="n"/>
      <c r="V39" s="30" t="n"/>
      <c r="W39" s="30" t="n"/>
      <c r="X39" s="33" t="n"/>
      <c r="Y39" s="33" t="n"/>
      <c r="Z39" s="33" t="n"/>
      <c r="AA39" s="33" t="n"/>
      <c r="AB39" s="34" t="n"/>
      <c r="AC39" s="34" t="n"/>
      <c r="AD39" s="30" t="n"/>
      <c r="AE39" s="30" t="n"/>
      <c r="AF39" s="30" t="n"/>
      <c r="AG39" s="30" t="n"/>
      <c r="AH39" s="30" t="n"/>
      <c r="AI39" s="32" t="n"/>
      <c r="AJ39" s="30" t="n"/>
      <c r="AK39" s="30" t="n"/>
      <c r="AL39" s="30" t="n"/>
      <c r="AM39" s="30" t="n"/>
      <c r="AN39" s="30" t="n"/>
      <c r="AO39" s="35">
        <f>IF(NOT(COUNTA(A39:AN39)&gt;0),"",IF(TEXTJOIN(", ",TRUE,IF(B39="","Название",""),IF(C39="","Тип недвижимости",""),IF(D39="","Страна",""),IF(E39="","Город",""),IF(F39="","Улица",""),IF(I39="","Валюта",""),IF(OR(AI39="",AI39&lt;1),"Хотя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земли",""),IF(W39="","Формат долга",""),IF(OR(X39="",X39&lt;=0),"Сумма долга",""),IF(AND(W39="Долги + Аукцион",OR(Y39="",Y39&lt;=0)),"Продать сейчас",""),IF(AND(W39="Долги + Аукцион",OR(Z39="",Z39&lt;=0)),"Минимальная цена продажи",""),IF(AND(W39="Долги + Аукцион",OR(AA39="",AA39&lt;=0)),"Стартовая ставка",""),IF(AND(W39="Долги + Аукцион",AB39=""),"Начало аукциона",""),IF(AND(W39="Долги + Аукцион",AC39=""),"Окончание аукциона",""),IF(AND(W39="Долги + Аукцион",AND(Y39&lt;&gt;"",Z39&lt;&gt;"",Z39&gt;Y39)),"Минимальная цена выше «Продать сейчас»",""),IF(AND(W39="Долги + Аукцион",AND(Y39&lt;&gt;"",Z39&lt;&gt;"",Z39&lt;=Y39,Z39&gt;Y39*0.9)),"Минимальная цена выше 90% от «Продать сейчас»",""),IF(AND(W39="Долги + Аукцион",AND(Y39&lt;&gt;"",AA39&lt;&gt;"",AA39&gt;Y39*0.3)),"Стартовая ставка выше 30% от «Продать сейчас»",""),IF(AND(W39="Долги + Аукцион",AND(AB39&lt;&gt;"",AC39&lt;&gt;"",AC39&lt;EDATE(AB39,3)+15)),"Аукцион короче 3 месяцев и 15 дней",""))="","",TEXTJOIN(", ",TRUE,IF(B39="","Название",""),IF(C39="","Тип недвижимости",""),IF(D39="","Страна",""),IF(E39="","Город",""),IF(F39="","Улица",""),IF(I39="","Валюта",""),IF(OR(AI39="",AI39&lt;1),"Хотя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земли",""),IF(W39="","Формат долга",""),IF(OR(X39="",X39&lt;=0),"Сумма долга",""),IF(AND(W39="Долги + Аукцион",OR(Y39="",Y39&lt;=0)),"Продать сейчас",""),IF(AND(W39="Долги + Аукцион",OR(Z39="",Z39&lt;=0)),"Минимальная цена продажи",""),IF(AND(W39="Долги + Аукцион",OR(AA39="",AA39&lt;=0)),"Стартовая ставка",""),IF(AND(W39="Долги + Аукцион",AB39=""),"Начало аукциона",""),IF(AND(W39="Долги + Аукцион",AC39=""),"Окончание аукциона",""),IF(AND(W39="Долги + Аукцион",AND(Y39&lt;&gt;"",Z39&lt;&gt;"",Z39&gt;Y39)),"Минимальная цена выше «Продать сейчас»",""),IF(AND(W39="Долги + Аукцион",AND(Y39&lt;&gt;"",Z39&lt;&gt;"",Z39&lt;=Y39,Z39&gt;Y39*0.9)),"Минимальная цена выше 90% от «Продать сейчас»",""),IF(AND(W39="Долги + Аукцион",AND(Y39&lt;&gt;"",AA39&lt;&gt;"",AA39&gt;Y39*0.3)),"Стартовая ставка выше 30% от «Продать сейчас»",""),IF(AND(W39="Долги + Аукцион",AND(AB39&lt;&gt;"",AC39&lt;&gt;"",AC39&lt;EDATE(AB39,3)+15)),"Аукцион короче 3 месяцев и 15 дней",""))))</f>
        <v/>
      </c>
      <c r="AP39" s="35">
        <f>IF(NOT(COUNTA(A39:AN39)&gt;0),"",IF(TEXTJOIN(", ",TRUE,IF(AL39="","Описание",""),IF(AND(AI39&lt;&gt;"",AI39&gt;=1,AI39&lt;5),"Фото меньше 5",""),IF(AK39="","Видео",""),IF(H39="","Кадастровый номер",""),IF(AJ39="","Ссылка на фото",""),IF(OR(AD39="",AD39="Нет"),"Кредитный договор",""),IF(OR(AE39="",AE39="Нет"),"Нотариальная закладная",""),IF(OR(AF39="",AF39="Нет"),"Выписка из реестра",""),IF(OR(AG39="",AG39="Нет"),"Оценка объекта",""),IF(AH39="","Статус в суде",""))="","",TEXTJOIN(", ",TRUE,IF(AL39="","Описание",""),IF(AND(AI39&lt;&gt;"",AI39&gt;=1,AI39&lt;5),"Фото меньше 5",""),IF(AK39="","Видео",""),IF(H39="","Кадастровый номер",""),IF(AJ39="","Ссылка на фото",""),IF(OR(AD39="",AD39="Нет"),"Кредитный договор",""),IF(OR(AE39="",AE39="Нет"),"Нотариальная закладная",""),IF(OR(AF39="",AF39="Нет"),"Выписка из реестра",""),IF(OR(AG39="",AG39="Нет"),"Оценка объекта",""),IF(AH39="","Статус в суде",""))))</f>
        <v/>
      </c>
      <c r="AQ39" s="35">
        <f>IF(NOT(COUNTA(A39:AN39)&gt;0),"",IF(AO39="","Можно публиковать","Не хватает"))</f>
        <v/>
      </c>
    </row>
    <row r="40" ht="22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7" t="n"/>
      <c r="K40" s="37" t="n"/>
      <c r="L40" s="37" t="n"/>
      <c r="M40" s="38" t="n"/>
      <c r="N40" s="38" t="n"/>
      <c r="O40" s="38" t="n"/>
      <c r="P40" s="38" t="n"/>
      <c r="Q40" s="38" t="n"/>
      <c r="R40" s="38" t="n"/>
      <c r="S40" s="36" t="n"/>
      <c r="T40" s="36" t="n"/>
      <c r="U40" s="36" t="n"/>
      <c r="V40" s="36" t="n"/>
      <c r="W40" s="36" t="n"/>
      <c r="X40" s="39" t="n"/>
      <c r="Y40" s="39" t="n"/>
      <c r="Z40" s="39" t="n"/>
      <c r="AA40" s="39" t="n"/>
      <c r="AB40" s="40" t="n"/>
      <c r="AC40" s="40" t="n"/>
      <c r="AD40" s="36" t="n"/>
      <c r="AE40" s="36" t="n"/>
      <c r="AF40" s="36" t="n"/>
      <c r="AG40" s="36" t="n"/>
      <c r="AH40" s="36" t="n"/>
      <c r="AI40" s="38" t="n"/>
      <c r="AJ40" s="36" t="n"/>
      <c r="AK40" s="36" t="n"/>
      <c r="AL40" s="36" t="n"/>
      <c r="AM40" s="36" t="n"/>
      <c r="AN40" s="36" t="n"/>
      <c r="AO40" s="35">
        <f>IF(NOT(COUNTA(A40:AN40)&gt;0),"",IF(TEXTJOIN(", ",TRUE,IF(B40="","Название",""),IF(C40="","Тип недвижимости",""),IF(D40="","Страна",""),IF(E40="","Город",""),IF(F40="","Улица",""),IF(I40="","Валюта",""),IF(OR(AI40="",AI40&lt;1),"Хотя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земли",""),IF(W40="","Формат долга",""),IF(OR(X40="",X40&lt;=0),"Сумма долга",""),IF(AND(W40="Долги + Аукцион",OR(Y40="",Y40&lt;=0)),"Продать сейчас",""),IF(AND(W40="Долги + Аукцион",OR(Z40="",Z40&lt;=0)),"Минимальная цена продажи",""),IF(AND(W40="Долги + Аукцион",OR(AA40="",AA40&lt;=0)),"Стартовая ставка",""),IF(AND(W40="Долги + Аукцион",AB40=""),"Начало аукциона",""),IF(AND(W40="Долги + Аукцион",AC40=""),"Окончание аукциона",""),IF(AND(W40="Долги + Аукцион",AND(Y40&lt;&gt;"",Z40&lt;&gt;"",Z40&gt;Y40)),"Минимальная цена выше «Продать сейчас»",""),IF(AND(W40="Долги + Аукцион",AND(Y40&lt;&gt;"",Z40&lt;&gt;"",Z40&lt;=Y40,Z40&gt;Y40*0.9)),"Минимальная цена выше 90% от «Продать сейчас»",""),IF(AND(W40="Долги + Аукцион",AND(Y40&lt;&gt;"",AA40&lt;&gt;"",AA40&gt;Y40*0.3)),"Стартовая ставка выше 30% от «Продать сейчас»",""),IF(AND(W40="Долги + Аукцион",AND(AB40&lt;&gt;"",AC40&lt;&gt;"",AC40&lt;EDATE(AB40,3)+15)),"Аукцион короче 3 месяцев и 15 дней",""))="","",TEXTJOIN(", ",TRUE,IF(B40="","Название",""),IF(C40="","Тип недвижимости",""),IF(D40="","Страна",""),IF(E40="","Город",""),IF(F40="","Улица",""),IF(I40="","Валюта",""),IF(OR(AI40="",AI40&lt;1),"Хотя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земли",""),IF(W40="","Формат долга",""),IF(OR(X40="",X40&lt;=0),"Сумма долга",""),IF(AND(W40="Долги + Аукцион",OR(Y40="",Y40&lt;=0)),"Продать сейчас",""),IF(AND(W40="Долги + Аукцион",OR(Z40="",Z40&lt;=0)),"Минимальная цена продажи",""),IF(AND(W40="Долги + Аукцион",OR(AA40="",AA40&lt;=0)),"Стартовая ставка",""),IF(AND(W40="Долги + Аукцион",AB40=""),"Начало аукциона",""),IF(AND(W40="Долги + Аукцион",AC40=""),"Окончание аукциона",""),IF(AND(W40="Долги + Аукцион",AND(Y40&lt;&gt;"",Z40&lt;&gt;"",Z40&gt;Y40)),"Минимальная цена выше «Продать сейчас»",""),IF(AND(W40="Долги + Аукцион",AND(Y40&lt;&gt;"",Z40&lt;&gt;"",Z40&lt;=Y40,Z40&gt;Y40*0.9)),"Минимальная цена выше 90% от «Продать сейчас»",""),IF(AND(W40="Долги + Аукцион",AND(Y40&lt;&gt;"",AA40&lt;&gt;"",AA40&gt;Y40*0.3)),"Стартовая ставка выше 30% от «Продать сейчас»",""),IF(AND(W40="Долги + Аукцион",AND(AB40&lt;&gt;"",AC40&lt;&gt;"",AC40&lt;EDATE(AB40,3)+15)),"Аукцион короче 3 месяцев и 15 дней",""))))</f>
        <v/>
      </c>
      <c r="AP40" s="35">
        <f>IF(NOT(COUNTA(A40:AN40)&gt;0),"",IF(TEXTJOIN(", ",TRUE,IF(AL40="","Описание",""),IF(AND(AI40&lt;&gt;"",AI40&gt;=1,AI40&lt;5),"Фото меньше 5",""),IF(AK40="","Видео",""),IF(H40="","Кадастровый номер",""),IF(AJ40="","Ссылка на фото",""),IF(OR(AD40="",AD40="Нет"),"Кредитный договор",""),IF(OR(AE40="",AE40="Нет"),"Нотариальная закладная",""),IF(OR(AF40="",AF40="Нет"),"Выписка из реестра",""),IF(OR(AG40="",AG40="Нет"),"Оценка объекта",""),IF(AH40="","Статус в суде",""))="","",TEXTJOIN(", ",TRUE,IF(AL40="","Описание",""),IF(AND(AI40&lt;&gt;"",AI40&gt;=1,AI40&lt;5),"Фото меньше 5",""),IF(AK40="","Видео",""),IF(H40="","Кадастровый номер",""),IF(AJ40="","Ссылка на фото",""),IF(OR(AD40="",AD40="Нет"),"Кредитный договор",""),IF(OR(AE40="",AE40="Нет"),"Нотариальная закладная",""),IF(OR(AF40="",AF40="Нет"),"Выписка из реестра",""),IF(OR(AG40="",AG40="Нет"),"Оценка объекта",""),IF(AH40="","Статус в суде",""))))</f>
        <v/>
      </c>
      <c r="AQ40" s="35">
        <f>IF(NOT(COUNTA(A40:AN40)&gt;0),"",IF(AO40="","Можно публиковать","Не хватает"))</f>
        <v/>
      </c>
    </row>
    <row r="41" ht="22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  <c r="K41" s="31" t="n"/>
      <c r="L41" s="31" t="n"/>
      <c r="M41" s="32" t="n"/>
      <c r="N41" s="32" t="n"/>
      <c r="O41" s="32" t="n"/>
      <c r="P41" s="32" t="n"/>
      <c r="Q41" s="32" t="n"/>
      <c r="R41" s="32" t="n"/>
      <c r="S41" s="30" t="n"/>
      <c r="T41" s="30" t="n"/>
      <c r="U41" s="30" t="n"/>
      <c r="V41" s="30" t="n"/>
      <c r="W41" s="30" t="n"/>
      <c r="X41" s="33" t="n"/>
      <c r="Y41" s="33" t="n"/>
      <c r="Z41" s="33" t="n"/>
      <c r="AA41" s="33" t="n"/>
      <c r="AB41" s="34" t="n"/>
      <c r="AC41" s="34" t="n"/>
      <c r="AD41" s="30" t="n"/>
      <c r="AE41" s="30" t="n"/>
      <c r="AF41" s="30" t="n"/>
      <c r="AG41" s="30" t="n"/>
      <c r="AH41" s="30" t="n"/>
      <c r="AI41" s="32" t="n"/>
      <c r="AJ41" s="30" t="n"/>
      <c r="AK41" s="30" t="n"/>
      <c r="AL41" s="30" t="n"/>
      <c r="AM41" s="30" t="n"/>
      <c r="AN41" s="30" t="n"/>
      <c r="AO41" s="35">
        <f>IF(NOT(COUNTA(A41:AN41)&gt;0),"",IF(TEXTJOIN(", ",TRUE,IF(B41="","Название",""),IF(C41="","Тип недвижимости",""),IF(D41="","Страна",""),IF(E41="","Город",""),IF(F41="","Улица",""),IF(I41="","Валюта",""),IF(OR(AI41="",AI41&lt;1),"Хотя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земли",""),IF(W41="","Формат долга",""),IF(OR(X41="",X41&lt;=0),"Сумма долга",""),IF(AND(W41="Долги + Аукцион",OR(Y41="",Y41&lt;=0)),"Продать сейчас",""),IF(AND(W41="Долги + Аукцион",OR(Z41="",Z41&lt;=0)),"Минимальная цена продажи",""),IF(AND(W41="Долги + Аукцион",OR(AA41="",AA41&lt;=0)),"Стартовая ставка",""),IF(AND(W41="Долги + Аукцион",AB41=""),"Начало аукциона",""),IF(AND(W41="Долги + Аукцион",AC41=""),"Окончание аукциона",""),IF(AND(W41="Долги + Аукцион",AND(Y41&lt;&gt;"",Z41&lt;&gt;"",Z41&gt;Y41)),"Минимальная цена выше «Продать сейчас»",""),IF(AND(W41="Долги + Аукцион",AND(Y41&lt;&gt;"",Z41&lt;&gt;"",Z41&lt;=Y41,Z41&gt;Y41*0.9)),"Минимальная цена выше 90% от «Продать сейчас»",""),IF(AND(W41="Долги + Аукцион",AND(Y41&lt;&gt;"",AA41&lt;&gt;"",AA41&gt;Y41*0.3)),"Стартовая ставка выше 30% от «Продать сейчас»",""),IF(AND(W41="Долги + Аукцион",AND(AB41&lt;&gt;"",AC41&lt;&gt;"",AC41&lt;EDATE(AB41,3)+15)),"Аукцион короче 3 месяцев и 15 дней",""))="","",TEXTJOIN(", ",TRUE,IF(B41="","Название",""),IF(C41="","Тип недвижимости",""),IF(D41="","Страна",""),IF(E41="","Город",""),IF(F41="","Улица",""),IF(I41="","Валюта",""),IF(OR(AI41="",AI41&lt;1),"Хотя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земли",""),IF(W41="","Формат долга",""),IF(OR(X41="",X41&lt;=0),"Сумма долга",""),IF(AND(W41="Долги + Аукцион",OR(Y41="",Y41&lt;=0)),"Продать сейчас",""),IF(AND(W41="Долги + Аукцион",OR(Z41="",Z41&lt;=0)),"Минимальная цена продажи",""),IF(AND(W41="Долги + Аукцион",OR(AA41="",AA41&lt;=0)),"Стартовая ставка",""),IF(AND(W41="Долги + Аукцион",AB41=""),"Начало аукциона",""),IF(AND(W41="Долги + Аукцион",AC41=""),"Окончание аукциона",""),IF(AND(W41="Долги + Аукцион",AND(Y41&lt;&gt;"",Z41&lt;&gt;"",Z41&gt;Y41)),"Минимальная цена выше «Продать сейчас»",""),IF(AND(W41="Долги + Аукцион",AND(Y41&lt;&gt;"",Z41&lt;&gt;"",Z41&lt;=Y41,Z41&gt;Y41*0.9)),"Минимальная цена выше 90% от «Продать сейчас»",""),IF(AND(W41="Долги + Аукцион",AND(Y41&lt;&gt;"",AA41&lt;&gt;"",AA41&gt;Y41*0.3)),"Стартовая ставка выше 30% от «Продать сейчас»",""),IF(AND(W41="Долги + Аукцион",AND(AB41&lt;&gt;"",AC41&lt;&gt;"",AC41&lt;EDATE(AB41,3)+15)),"Аукцион короче 3 месяцев и 15 дней",""))))</f>
        <v/>
      </c>
      <c r="AP41" s="35">
        <f>IF(NOT(COUNTA(A41:AN41)&gt;0),"",IF(TEXTJOIN(", ",TRUE,IF(AL41="","Описание",""),IF(AND(AI41&lt;&gt;"",AI41&gt;=1,AI41&lt;5),"Фото меньше 5",""),IF(AK41="","Видео",""),IF(H41="","Кадастровый номер",""),IF(AJ41="","Ссылка на фото",""),IF(OR(AD41="",AD41="Нет"),"Кредитный договор",""),IF(OR(AE41="",AE41="Нет"),"Нотариальная закладная",""),IF(OR(AF41="",AF41="Нет"),"Выписка из реестра",""),IF(OR(AG41="",AG41="Нет"),"Оценка объекта",""),IF(AH41="","Статус в суде",""))="","",TEXTJOIN(", ",TRUE,IF(AL41="","Описание",""),IF(AND(AI41&lt;&gt;"",AI41&gt;=1,AI41&lt;5),"Фото меньше 5",""),IF(AK41="","Видео",""),IF(H41="","Кадастровый номер",""),IF(AJ41="","Ссылка на фото",""),IF(OR(AD41="",AD41="Нет"),"Кредитный договор",""),IF(OR(AE41="",AE41="Нет"),"Нотариальная закладная",""),IF(OR(AF41="",AF41="Нет"),"Выписка из реестра",""),IF(OR(AG41="",AG41="Нет"),"Оценка объекта",""),IF(AH41="","Статус в суде",""))))</f>
        <v/>
      </c>
      <c r="AQ41" s="35">
        <f>IF(NOT(COUNTA(A41:AN41)&gt;0),"",IF(AO41="","Можно публиковать","Не хватает"))</f>
        <v/>
      </c>
    </row>
    <row r="42" ht="22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7" t="n"/>
      <c r="K42" s="37" t="n"/>
      <c r="L42" s="37" t="n"/>
      <c r="M42" s="38" t="n"/>
      <c r="N42" s="38" t="n"/>
      <c r="O42" s="38" t="n"/>
      <c r="P42" s="38" t="n"/>
      <c r="Q42" s="38" t="n"/>
      <c r="R42" s="38" t="n"/>
      <c r="S42" s="36" t="n"/>
      <c r="T42" s="36" t="n"/>
      <c r="U42" s="36" t="n"/>
      <c r="V42" s="36" t="n"/>
      <c r="W42" s="36" t="n"/>
      <c r="X42" s="39" t="n"/>
      <c r="Y42" s="39" t="n"/>
      <c r="Z42" s="39" t="n"/>
      <c r="AA42" s="39" t="n"/>
      <c r="AB42" s="40" t="n"/>
      <c r="AC42" s="40" t="n"/>
      <c r="AD42" s="36" t="n"/>
      <c r="AE42" s="36" t="n"/>
      <c r="AF42" s="36" t="n"/>
      <c r="AG42" s="36" t="n"/>
      <c r="AH42" s="36" t="n"/>
      <c r="AI42" s="38" t="n"/>
      <c r="AJ42" s="36" t="n"/>
      <c r="AK42" s="36" t="n"/>
      <c r="AL42" s="36" t="n"/>
      <c r="AM42" s="36" t="n"/>
      <c r="AN42" s="36" t="n"/>
      <c r="AO42" s="35">
        <f>IF(NOT(COUNTA(A42:AN42)&gt;0),"",IF(TEXTJOIN(", ",TRUE,IF(B42="","Название",""),IF(C42="","Тип недвижимости",""),IF(D42="","Страна",""),IF(E42="","Город",""),IF(F42="","Улица",""),IF(I42="","Валюта",""),IF(OR(AI42="",AI42&lt;1),"Хотя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земли",""),IF(W42="","Формат долга",""),IF(OR(X42="",X42&lt;=0),"Сумма долга",""),IF(AND(W42="Долги + Аукцион",OR(Y42="",Y42&lt;=0)),"Продать сейчас",""),IF(AND(W42="Долги + Аукцион",OR(Z42="",Z42&lt;=0)),"Минимальная цена продажи",""),IF(AND(W42="Долги + Аукцион",OR(AA42="",AA42&lt;=0)),"Стартовая ставка",""),IF(AND(W42="Долги + Аукцион",AB42=""),"Начало аукциона",""),IF(AND(W42="Долги + Аукцион",AC42=""),"Окончание аукциона",""),IF(AND(W42="Долги + Аукцион",AND(Y42&lt;&gt;"",Z42&lt;&gt;"",Z42&gt;Y42)),"Минимальная цена выше «Продать сейчас»",""),IF(AND(W42="Долги + Аукцион",AND(Y42&lt;&gt;"",Z42&lt;&gt;"",Z42&lt;=Y42,Z42&gt;Y42*0.9)),"Минимальная цена выше 90% от «Продать сейчас»",""),IF(AND(W42="Долги + Аукцион",AND(Y42&lt;&gt;"",AA42&lt;&gt;"",AA42&gt;Y42*0.3)),"Стартовая ставка выше 30% от «Продать сейчас»",""),IF(AND(W42="Долги + Аукцион",AND(AB42&lt;&gt;"",AC42&lt;&gt;"",AC42&lt;EDATE(AB42,3)+15)),"Аукцион короче 3 месяцев и 15 дней",""))="","",TEXTJOIN(", ",TRUE,IF(B42="","Название",""),IF(C42="","Тип недвижимости",""),IF(D42="","Страна",""),IF(E42="","Город",""),IF(F42="","Улица",""),IF(I42="","Валюта",""),IF(OR(AI42="",AI42&lt;1),"Хотя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земли",""),IF(W42="","Формат долга",""),IF(OR(X42="",X42&lt;=0),"Сумма долга",""),IF(AND(W42="Долги + Аукцион",OR(Y42="",Y42&lt;=0)),"Продать сейчас",""),IF(AND(W42="Долги + Аукцион",OR(Z42="",Z42&lt;=0)),"Минимальная цена продажи",""),IF(AND(W42="Долги + Аукцион",OR(AA42="",AA42&lt;=0)),"Стартовая ставка",""),IF(AND(W42="Долги + Аукцион",AB42=""),"Начало аукциона",""),IF(AND(W42="Долги + Аукцион",AC42=""),"Окончание аукциона",""),IF(AND(W42="Долги + Аукцион",AND(Y42&lt;&gt;"",Z42&lt;&gt;"",Z42&gt;Y42)),"Минимальная цена выше «Продать сейчас»",""),IF(AND(W42="Долги + Аукцион",AND(Y42&lt;&gt;"",Z42&lt;&gt;"",Z42&lt;=Y42,Z42&gt;Y42*0.9)),"Минимальная цена выше 90% от «Продать сейчас»",""),IF(AND(W42="Долги + Аукцион",AND(Y42&lt;&gt;"",AA42&lt;&gt;"",AA42&gt;Y42*0.3)),"Стартовая ставка выше 30% от «Продать сейчас»",""),IF(AND(W42="Долги + Аукцион",AND(AB42&lt;&gt;"",AC42&lt;&gt;"",AC42&lt;EDATE(AB42,3)+15)),"Аукцион короче 3 месяцев и 15 дней",""))))</f>
        <v/>
      </c>
      <c r="AP42" s="35">
        <f>IF(NOT(COUNTA(A42:AN42)&gt;0),"",IF(TEXTJOIN(", ",TRUE,IF(AL42="","Описание",""),IF(AND(AI42&lt;&gt;"",AI42&gt;=1,AI42&lt;5),"Фото меньше 5",""),IF(AK42="","Видео",""),IF(H42="","Кадастровый номер",""),IF(AJ42="","Ссылка на фото",""),IF(OR(AD42="",AD42="Нет"),"Кредитный договор",""),IF(OR(AE42="",AE42="Нет"),"Нотариальная закладная",""),IF(OR(AF42="",AF42="Нет"),"Выписка из реестра",""),IF(OR(AG42="",AG42="Нет"),"Оценка объекта",""),IF(AH42="","Статус в суде",""))="","",TEXTJOIN(", ",TRUE,IF(AL42="","Описание",""),IF(AND(AI42&lt;&gt;"",AI42&gt;=1,AI42&lt;5),"Фото меньше 5",""),IF(AK42="","Видео",""),IF(H42="","Кадастровый номер",""),IF(AJ42="","Ссылка на фото",""),IF(OR(AD42="",AD42="Нет"),"Кредитный договор",""),IF(OR(AE42="",AE42="Нет"),"Нотариальная закладная",""),IF(OR(AF42="",AF42="Нет"),"Выписка из реестра",""),IF(OR(AG42="",AG42="Нет"),"Оценка объекта",""),IF(AH42="","Статус в суде",""))))</f>
        <v/>
      </c>
      <c r="AQ42" s="35">
        <f>IF(NOT(COUNTA(A42:AN42)&gt;0),"",IF(AO42="","Можно публиковать","Не хватает"))</f>
        <v/>
      </c>
    </row>
    <row r="43" ht="22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 t="n"/>
      <c r="K43" s="31" t="n"/>
      <c r="L43" s="31" t="n"/>
      <c r="M43" s="32" t="n"/>
      <c r="N43" s="32" t="n"/>
      <c r="O43" s="32" t="n"/>
      <c r="P43" s="32" t="n"/>
      <c r="Q43" s="32" t="n"/>
      <c r="R43" s="32" t="n"/>
      <c r="S43" s="30" t="n"/>
      <c r="T43" s="30" t="n"/>
      <c r="U43" s="30" t="n"/>
      <c r="V43" s="30" t="n"/>
      <c r="W43" s="30" t="n"/>
      <c r="X43" s="33" t="n"/>
      <c r="Y43" s="33" t="n"/>
      <c r="Z43" s="33" t="n"/>
      <c r="AA43" s="33" t="n"/>
      <c r="AB43" s="34" t="n"/>
      <c r="AC43" s="34" t="n"/>
      <c r="AD43" s="30" t="n"/>
      <c r="AE43" s="30" t="n"/>
      <c r="AF43" s="30" t="n"/>
      <c r="AG43" s="30" t="n"/>
      <c r="AH43" s="30" t="n"/>
      <c r="AI43" s="32" t="n"/>
      <c r="AJ43" s="30" t="n"/>
      <c r="AK43" s="30" t="n"/>
      <c r="AL43" s="30" t="n"/>
      <c r="AM43" s="30" t="n"/>
      <c r="AN43" s="30" t="n"/>
      <c r="AO43" s="35">
        <f>IF(NOT(COUNTA(A43:AN43)&gt;0),"",IF(TEXTJOIN(", ",TRUE,IF(B43="","Название",""),IF(C43="","Тип недвижимости",""),IF(D43="","Страна",""),IF(E43="","Город",""),IF(F43="","Улица",""),IF(I43="","Валюта",""),IF(OR(AI43="",AI43&lt;1),"Хотя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земли",""),IF(W43="","Формат долга",""),IF(OR(X43="",X43&lt;=0),"Сумма долга",""),IF(AND(W43="Долги + Аукцион",OR(Y43="",Y43&lt;=0)),"Продать сейчас",""),IF(AND(W43="Долги + Аукцион",OR(Z43="",Z43&lt;=0)),"Минимальная цена продажи",""),IF(AND(W43="Долги + Аукцион",OR(AA43="",AA43&lt;=0)),"Стартовая ставка",""),IF(AND(W43="Долги + Аукцион",AB43=""),"Начало аукциона",""),IF(AND(W43="Долги + Аукцион",AC43=""),"Окончание аукциона",""),IF(AND(W43="Долги + Аукцион",AND(Y43&lt;&gt;"",Z43&lt;&gt;"",Z43&gt;Y43)),"Минимальная цена выше «Продать сейчас»",""),IF(AND(W43="Долги + Аукцион",AND(Y43&lt;&gt;"",Z43&lt;&gt;"",Z43&lt;=Y43,Z43&gt;Y43*0.9)),"Минимальная цена выше 90% от «Продать сейчас»",""),IF(AND(W43="Долги + Аукцион",AND(Y43&lt;&gt;"",AA43&lt;&gt;"",AA43&gt;Y43*0.3)),"Стартовая ставка выше 30% от «Продать сейчас»",""),IF(AND(W43="Долги + Аукцион",AND(AB43&lt;&gt;"",AC43&lt;&gt;"",AC43&lt;EDATE(AB43,3)+15)),"Аукцион короче 3 месяцев и 15 дней",""))="","",TEXTJOIN(", ",TRUE,IF(B43="","Название",""),IF(C43="","Тип недвижимости",""),IF(D43="","Страна",""),IF(E43="","Город",""),IF(F43="","Улица",""),IF(I43="","Валюта",""),IF(OR(AI43="",AI43&lt;1),"Хотя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земли",""),IF(W43="","Формат долга",""),IF(OR(X43="",X43&lt;=0),"Сумма долга",""),IF(AND(W43="Долги + Аукцион",OR(Y43="",Y43&lt;=0)),"Продать сейчас",""),IF(AND(W43="Долги + Аукцион",OR(Z43="",Z43&lt;=0)),"Минимальная цена продажи",""),IF(AND(W43="Долги + Аукцион",OR(AA43="",AA43&lt;=0)),"Стартовая ставка",""),IF(AND(W43="Долги + Аукцион",AB43=""),"Начало аукциона",""),IF(AND(W43="Долги + Аукцион",AC43=""),"Окончание аукциона",""),IF(AND(W43="Долги + Аукцион",AND(Y43&lt;&gt;"",Z43&lt;&gt;"",Z43&gt;Y43)),"Минимальная цена выше «Продать сейчас»",""),IF(AND(W43="Долги + Аукцион",AND(Y43&lt;&gt;"",Z43&lt;&gt;"",Z43&lt;=Y43,Z43&gt;Y43*0.9)),"Минимальная цена выше 90% от «Продать сейчас»",""),IF(AND(W43="Долги + Аукцион",AND(Y43&lt;&gt;"",AA43&lt;&gt;"",AA43&gt;Y43*0.3)),"Стартовая ставка выше 30% от «Продать сейчас»",""),IF(AND(W43="Долги + Аукцион",AND(AB43&lt;&gt;"",AC43&lt;&gt;"",AC43&lt;EDATE(AB43,3)+15)),"Аукцион короче 3 месяцев и 15 дней",""))))</f>
        <v/>
      </c>
      <c r="AP43" s="35">
        <f>IF(NOT(COUNTA(A43:AN43)&gt;0),"",IF(TEXTJOIN(", ",TRUE,IF(AL43="","Описание",""),IF(AND(AI43&lt;&gt;"",AI43&gt;=1,AI43&lt;5),"Фото меньше 5",""),IF(AK43="","Видео",""),IF(H43="","Кадастровый номер",""),IF(AJ43="","Ссылка на фото",""),IF(OR(AD43="",AD43="Нет"),"Кредитный договор",""),IF(OR(AE43="",AE43="Нет"),"Нотариальная закладная",""),IF(OR(AF43="",AF43="Нет"),"Выписка из реестра",""),IF(OR(AG43="",AG43="Нет"),"Оценка объекта",""),IF(AH43="","Статус в суде",""))="","",TEXTJOIN(", ",TRUE,IF(AL43="","Описание",""),IF(AND(AI43&lt;&gt;"",AI43&gt;=1,AI43&lt;5),"Фото меньше 5",""),IF(AK43="","Видео",""),IF(H43="","Кадастровый номер",""),IF(AJ43="","Ссылка на фото",""),IF(OR(AD43="",AD43="Нет"),"Кредитный договор",""),IF(OR(AE43="",AE43="Нет"),"Нотариальная закладная",""),IF(OR(AF43="",AF43="Нет"),"Выписка из реестра",""),IF(OR(AG43="",AG43="Нет"),"Оценка объекта",""),IF(AH43="","Статус в суде",""))))</f>
        <v/>
      </c>
      <c r="AQ43" s="35">
        <f>IF(NOT(COUNTA(A43:AN43)&gt;0),"",IF(AO43="","Можно публиковать","Не хватает"))</f>
        <v/>
      </c>
    </row>
    <row r="44" ht="22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7" t="n"/>
      <c r="K44" s="37" t="n"/>
      <c r="L44" s="37" t="n"/>
      <c r="M44" s="38" t="n"/>
      <c r="N44" s="38" t="n"/>
      <c r="O44" s="38" t="n"/>
      <c r="P44" s="38" t="n"/>
      <c r="Q44" s="38" t="n"/>
      <c r="R44" s="38" t="n"/>
      <c r="S44" s="36" t="n"/>
      <c r="T44" s="36" t="n"/>
      <c r="U44" s="36" t="n"/>
      <c r="V44" s="36" t="n"/>
      <c r="W44" s="36" t="n"/>
      <c r="X44" s="39" t="n"/>
      <c r="Y44" s="39" t="n"/>
      <c r="Z44" s="39" t="n"/>
      <c r="AA44" s="39" t="n"/>
      <c r="AB44" s="40" t="n"/>
      <c r="AC44" s="40" t="n"/>
      <c r="AD44" s="36" t="n"/>
      <c r="AE44" s="36" t="n"/>
      <c r="AF44" s="36" t="n"/>
      <c r="AG44" s="36" t="n"/>
      <c r="AH44" s="36" t="n"/>
      <c r="AI44" s="38" t="n"/>
      <c r="AJ44" s="36" t="n"/>
      <c r="AK44" s="36" t="n"/>
      <c r="AL44" s="36" t="n"/>
      <c r="AM44" s="36" t="n"/>
      <c r="AN44" s="36" t="n"/>
      <c r="AO44" s="35">
        <f>IF(NOT(COUNTA(A44:AN44)&gt;0),"",IF(TEXTJOIN(", ",TRUE,IF(B44="","Название",""),IF(C44="","Тип недвижимости",""),IF(D44="","Страна",""),IF(E44="","Город",""),IF(F44="","Улица",""),IF(I44="","Валюта",""),IF(OR(AI44="",AI44&lt;1),"Хотя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земли",""),IF(W44="","Формат долга",""),IF(OR(X44="",X44&lt;=0),"Сумма долга",""),IF(AND(W44="Долги + Аукцион",OR(Y44="",Y44&lt;=0)),"Продать сейчас",""),IF(AND(W44="Долги + Аукцион",OR(Z44="",Z44&lt;=0)),"Минимальная цена продажи",""),IF(AND(W44="Долги + Аукцион",OR(AA44="",AA44&lt;=0)),"Стартовая ставка",""),IF(AND(W44="Долги + Аукцион",AB44=""),"Начало аукциона",""),IF(AND(W44="Долги + Аукцион",AC44=""),"Окончание аукциона",""),IF(AND(W44="Долги + Аукцион",AND(Y44&lt;&gt;"",Z44&lt;&gt;"",Z44&gt;Y44)),"Минимальная цена выше «Продать сейчас»",""),IF(AND(W44="Долги + Аукцион",AND(Y44&lt;&gt;"",Z44&lt;&gt;"",Z44&lt;=Y44,Z44&gt;Y44*0.9)),"Минимальная цена выше 90% от «Продать сейчас»",""),IF(AND(W44="Долги + Аукцион",AND(Y44&lt;&gt;"",AA44&lt;&gt;"",AA44&gt;Y44*0.3)),"Стартовая ставка выше 30% от «Продать сейчас»",""),IF(AND(W44="Долги + Аукцион",AND(AB44&lt;&gt;"",AC44&lt;&gt;"",AC44&lt;EDATE(AB44,3)+15)),"Аукцион короче 3 месяцев и 15 дней",""))="","",TEXTJOIN(", ",TRUE,IF(B44="","Название",""),IF(C44="","Тип недвижимости",""),IF(D44="","Страна",""),IF(E44="","Город",""),IF(F44="","Улица",""),IF(I44="","Валюта",""),IF(OR(AI44="",AI44&lt;1),"Хотя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земли",""),IF(W44="","Формат долга",""),IF(OR(X44="",X44&lt;=0),"Сумма долга",""),IF(AND(W44="Долги + Аукцион",OR(Y44="",Y44&lt;=0)),"Продать сейчас",""),IF(AND(W44="Долги + Аукцион",OR(Z44="",Z44&lt;=0)),"Минимальная цена продажи",""),IF(AND(W44="Долги + Аукцион",OR(AA44="",AA44&lt;=0)),"Стартовая ставка",""),IF(AND(W44="Долги + Аукцион",AB44=""),"Начало аукциона",""),IF(AND(W44="Долги + Аукцион",AC44=""),"Окончание аукциона",""),IF(AND(W44="Долги + Аукцион",AND(Y44&lt;&gt;"",Z44&lt;&gt;"",Z44&gt;Y44)),"Минимальная цена выше «Продать сейчас»",""),IF(AND(W44="Долги + Аукцион",AND(Y44&lt;&gt;"",Z44&lt;&gt;"",Z44&lt;=Y44,Z44&gt;Y44*0.9)),"Минимальная цена выше 90% от «Продать сейчас»",""),IF(AND(W44="Долги + Аукцион",AND(Y44&lt;&gt;"",AA44&lt;&gt;"",AA44&gt;Y44*0.3)),"Стартовая ставка выше 30% от «Продать сейчас»",""),IF(AND(W44="Долги + Аукцион",AND(AB44&lt;&gt;"",AC44&lt;&gt;"",AC44&lt;EDATE(AB44,3)+15)),"Аукцион короче 3 месяцев и 15 дней",""))))</f>
        <v/>
      </c>
      <c r="AP44" s="35">
        <f>IF(NOT(COUNTA(A44:AN44)&gt;0),"",IF(TEXTJOIN(", ",TRUE,IF(AL44="","Описание",""),IF(AND(AI44&lt;&gt;"",AI44&gt;=1,AI44&lt;5),"Фото меньше 5",""),IF(AK44="","Видео",""),IF(H44="","Кадастровый номер",""),IF(AJ44="","Ссылка на фото",""),IF(OR(AD44="",AD44="Нет"),"Кредитный договор",""),IF(OR(AE44="",AE44="Нет"),"Нотариальная закладная",""),IF(OR(AF44="",AF44="Нет"),"Выписка из реестра",""),IF(OR(AG44="",AG44="Нет"),"Оценка объекта",""),IF(AH44="","Статус в суде",""))="","",TEXTJOIN(", ",TRUE,IF(AL44="","Описание",""),IF(AND(AI44&lt;&gt;"",AI44&gt;=1,AI44&lt;5),"Фото меньше 5",""),IF(AK44="","Видео",""),IF(H44="","Кадастровый номер",""),IF(AJ44="","Ссылка на фото",""),IF(OR(AD44="",AD44="Нет"),"Кредитный договор",""),IF(OR(AE44="",AE44="Нет"),"Нотариальная закладная",""),IF(OR(AF44="",AF44="Нет"),"Выписка из реестра",""),IF(OR(AG44="",AG44="Нет"),"Оценка объекта",""),IF(AH44="","Статус в суде",""))))</f>
        <v/>
      </c>
      <c r="AQ44" s="35">
        <f>IF(NOT(COUNTA(A44:AN44)&gt;0),"",IF(AO44="","Можно публиковать","Не хватает"))</f>
        <v/>
      </c>
    </row>
    <row r="45" ht="22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31" t="n"/>
      <c r="L45" s="31" t="n"/>
      <c r="M45" s="32" t="n"/>
      <c r="N45" s="32" t="n"/>
      <c r="O45" s="32" t="n"/>
      <c r="P45" s="32" t="n"/>
      <c r="Q45" s="32" t="n"/>
      <c r="R45" s="32" t="n"/>
      <c r="S45" s="30" t="n"/>
      <c r="T45" s="30" t="n"/>
      <c r="U45" s="30" t="n"/>
      <c r="V45" s="30" t="n"/>
      <c r="W45" s="30" t="n"/>
      <c r="X45" s="33" t="n"/>
      <c r="Y45" s="33" t="n"/>
      <c r="Z45" s="33" t="n"/>
      <c r="AA45" s="33" t="n"/>
      <c r="AB45" s="34" t="n"/>
      <c r="AC45" s="34" t="n"/>
      <c r="AD45" s="30" t="n"/>
      <c r="AE45" s="30" t="n"/>
      <c r="AF45" s="30" t="n"/>
      <c r="AG45" s="30" t="n"/>
      <c r="AH45" s="30" t="n"/>
      <c r="AI45" s="32" t="n"/>
      <c r="AJ45" s="30" t="n"/>
      <c r="AK45" s="30" t="n"/>
      <c r="AL45" s="30" t="n"/>
      <c r="AM45" s="30" t="n"/>
      <c r="AN45" s="30" t="n"/>
      <c r="AO45" s="35">
        <f>IF(NOT(COUNTA(A45:AN45)&gt;0),"",IF(TEXTJOIN(", ",TRUE,IF(B45="","Название",""),IF(C45="","Тип недвижимости",""),IF(D45="","Страна",""),IF(E45="","Город",""),IF(F45="","Улица",""),IF(I45="","Валюта",""),IF(OR(AI45="",AI45&lt;1),"Хотя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земли",""),IF(W45="","Формат долга",""),IF(OR(X45="",X45&lt;=0),"Сумма долга",""),IF(AND(W45="Долги + Аукцион",OR(Y45="",Y45&lt;=0)),"Продать сейчас",""),IF(AND(W45="Долги + Аукцион",OR(Z45="",Z45&lt;=0)),"Минимальная цена продажи",""),IF(AND(W45="Долги + Аукцион",OR(AA45="",AA45&lt;=0)),"Стартовая ставка",""),IF(AND(W45="Долги + Аукцион",AB45=""),"Начало аукциона",""),IF(AND(W45="Долги + Аукцион",AC45=""),"Окончание аукциона",""),IF(AND(W45="Долги + Аукцион",AND(Y45&lt;&gt;"",Z45&lt;&gt;"",Z45&gt;Y45)),"Минимальная цена выше «Продать сейчас»",""),IF(AND(W45="Долги + Аукцион",AND(Y45&lt;&gt;"",Z45&lt;&gt;"",Z45&lt;=Y45,Z45&gt;Y45*0.9)),"Минимальная цена выше 90% от «Продать сейчас»",""),IF(AND(W45="Долги + Аукцион",AND(Y45&lt;&gt;"",AA45&lt;&gt;"",AA45&gt;Y45*0.3)),"Стартовая ставка выше 30% от «Продать сейчас»",""),IF(AND(W45="Долги + Аукцион",AND(AB45&lt;&gt;"",AC45&lt;&gt;"",AC45&lt;EDATE(AB45,3)+15)),"Аукцион короче 3 месяцев и 15 дней",""))="","",TEXTJOIN(", ",TRUE,IF(B45="","Название",""),IF(C45="","Тип недвижимости",""),IF(D45="","Страна",""),IF(E45="","Город",""),IF(F45="","Улица",""),IF(I45="","Валюта",""),IF(OR(AI45="",AI45&lt;1),"Хотя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земли",""),IF(W45="","Формат долга",""),IF(OR(X45="",X45&lt;=0),"Сумма долга",""),IF(AND(W45="Долги + Аукцион",OR(Y45="",Y45&lt;=0)),"Продать сейчас",""),IF(AND(W45="Долги + Аукцион",OR(Z45="",Z45&lt;=0)),"Минимальная цена продажи",""),IF(AND(W45="Долги + Аукцион",OR(AA45="",AA45&lt;=0)),"Стартовая ставка",""),IF(AND(W45="Долги + Аукцион",AB45=""),"Начало аукциона",""),IF(AND(W45="Долги + Аукцион",AC45=""),"Окончание аукциона",""),IF(AND(W45="Долги + Аукцион",AND(Y45&lt;&gt;"",Z45&lt;&gt;"",Z45&gt;Y45)),"Минимальная цена выше «Продать сейчас»",""),IF(AND(W45="Долги + Аукцион",AND(Y45&lt;&gt;"",Z45&lt;&gt;"",Z45&lt;=Y45,Z45&gt;Y45*0.9)),"Минимальная цена выше 90% от «Продать сейчас»",""),IF(AND(W45="Долги + Аукцион",AND(Y45&lt;&gt;"",AA45&lt;&gt;"",AA45&gt;Y45*0.3)),"Стартовая ставка выше 30% от «Продать сейчас»",""),IF(AND(W45="Долги + Аукцион",AND(AB45&lt;&gt;"",AC45&lt;&gt;"",AC45&lt;EDATE(AB45,3)+15)),"Аукцион короче 3 месяцев и 15 дней",""))))</f>
        <v/>
      </c>
      <c r="AP45" s="35">
        <f>IF(NOT(COUNTA(A45:AN45)&gt;0),"",IF(TEXTJOIN(", ",TRUE,IF(AL45="","Описание",""),IF(AND(AI45&lt;&gt;"",AI45&gt;=1,AI45&lt;5),"Фото меньше 5",""),IF(AK45="","Видео",""),IF(H45="","Кадастровый номер",""),IF(AJ45="","Ссылка на фото",""),IF(OR(AD45="",AD45="Нет"),"Кредитный договор",""),IF(OR(AE45="",AE45="Нет"),"Нотариальная закладная",""),IF(OR(AF45="",AF45="Нет"),"Выписка из реестра",""),IF(OR(AG45="",AG45="Нет"),"Оценка объекта",""),IF(AH45="","Статус в суде",""))="","",TEXTJOIN(", ",TRUE,IF(AL45="","Описание",""),IF(AND(AI45&lt;&gt;"",AI45&gt;=1,AI45&lt;5),"Фото меньше 5",""),IF(AK45="","Видео",""),IF(H45="","Кадастровый номер",""),IF(AJ45="","Ссылка на фото",""),IF(OR(AD45="",AD45="Нет"),"Кредитный договор",""),IF(OR(AE45="",AE45="Нет"),"Нотариальная закладная",""),IF(OR(AF45="",AF45="Нет"),"Выписка из реестра",""),IF(OR(AG45="",AG45="Нет"),"Оценка объекта",""),IF(AH45="","Статус в суде",""))))</f>
        <v/>
      </c>
      <c r="AQ45" s="35">
        <f>IF(NOT(COUNTA(A45:AN45)&gt;0),"",IF(AO45="","Можно публиковать","Не хватает"))</f>
        <v/>
      </c>
    </row>
    <row r="46" ht="22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7" t="n"/>
      <c r="K46" s="37" t="n"/>
      <c r="L46" s="37" t="n"/>
      <c r="M46" s="38" t="n"/>
      <c r="N46" s="38" t="n"/>
      <c r="O46" s="38" t="n"/>
      <c r="P46" s="38" t="n"/>
      <c r="Q46" s="38" t="n"/>
      <c r="R46" s="38" t="n"/>
      <c r="S46" s="36" t="n"/>
      <c r="T46" s="36" t="n"/>
      <c r="U46" s="36" t="n"/>
      <c r="V46" s="36" t="n"/>
      <c r="W46" s="36" t="n"/>
      <c r="X46" s="39" t="n"/>
      <c r="Y46" s="39" t="n"/>
      <c r="Z46" s="39" t="n"/>
      <c r="AA46" s="39" t="n"/>
      <c r="AB46" s="40" t="n"/>
      <c r="AC46" s="40" t="n"/>
      <c r="AD46" s="36" t="n"/>
      <c r="AE46" s="36" t="n"/>
      <c r="AF46" s="36" t="n"/>
      <c r="AG46" s="36" t="n"/>
      <c r="AH46" s="36" t="n"/>
      <c r="AI46" s="38" t="n"/>
      <c r="AJ46" s="36" t="n"/>
      <c r="AK46" s="36" t="n"/>
      <c r="AL46" s="36" t="n"/>
      <c r="AM46" s="36" t="n"/>
      <c r="AN46" s="36" t="n"/>
      <c r="AO46" s="35">
        <f>IF(NOT(COUNTA(A46:AN46)&gt;0),"",IF(TEXTJOIN(", ",TRUE,IF(B46="","Название",""),IF(C46="","Тип недвижимости",""),IF(D46="","Страна",""),IF(E46="","Город",""),IF(F46="","Улица",""),IF(I46="","Валюта",""),IF(OR(AI46="",AI46&lt;1),"Хотя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земли",""),IF(W46="","Формат долга",""),IF(OR(X46="",X46&lt;=0),"Сумма долга",""),IF(AND(W46="Долги + Аукцион",OR(Y46="",Y46&lt;=0)),"Продать сейчас",""),IF(AND(W46="Долги + Аукцион",OR(Z46="",Z46&lt;=0)),"Минимальная цена продажи",""),IF(AND(W46="Долги + Аукцион",OR(AA46="",AA46&lt;=0)),"Стартовая ставка",""),IF(AND(W46="Долги + Аукцион",AB46=""),"Начало аукциона",""),IF(AND(W46="Долги + Аукцион",AC46=""),"Окончание аукциона",""),IF(AND(W46="Долги + Аукцион",AND(Y46&lt;&gt;"",Z46&lt;&gt;"",Z46&gt;Y46)),"Минимальная цена выше «Продать сейчас»",""),IF(AND(W46="Долги + Аукцион",AND(Y46&lt;&gt;"",Z46&lt;&gt;"",Z46&lt;=Y46,Z46&gt;Y46*0.9)),"Минимальная цена выше 90% от «Продать сейчас»",""),IF(AND(W46="Долги + Аукцион",AND(Y46&lt;&gt;"",AA46&lt;&gt;"",AA46&gt;Y46*0.3)),"Стартовая ставка выше 30% от «Продать сейчас»",""),IF(AND(W46="Долги + Аукцион",AND(AB46&lt;&gt;"",AC46&lt;&gt;"",AC46&lt;EDATE(AB46,3)+15)),"Аукцион короче 3 месяцев и 15 дней",""))="","",TEXTJOIN(", ",TRUE,IF(B46="","Название",""),IF(C46="","Тип недвижимости",""),IF(D46="","Страна",""),IF(E46="","Город",""),IF(F46="","Улица",""),IF(I46="","Валюта",""),IF(OR(AI46="",AI46&lt;1),"Хотя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земли",""),IF(W46="","Формат долга",""),IF(OR(X46="",X46&lt;=0),"Сумма долга",""),IF(AND(W46="Долги + Аукцион",OR(Y46="",Y46&lt;=0)),"Продать сейчас",""),IF(AND(W46="Долги + Аукцион",OR(Z46="",Z46&lt;=0)),"Минимальная цена продажи",""),IF(AND(W46="Долги + Аукцион",OR(AA46="",AA46&lt;=0)),"Стартовая ставка",""),IF(AND(W46="Долги + Аукцион",AB46=""),"Начало аукциона",""),IF(AND(W46="Долги + Аукцион",AC46=""),"Окончание аукциона",""),IF(AND(W46="Долги + Аукцион",AND(Y46&lt;&gt;"",Z46&lt;&gt;"",Z46&gt;Y46)),"Минимальная цена выше «Продать сейчас»",""),IF(AND(W46="Долги + Аукцион",AND(Y46&lt;&gt;"",Z46&lt;&gt;"",Z46&lt;=Y46,Z46&gt;Y46*0.9)),"Минимальная цена выше 90% от «Продать сейчас»",""),IF(AND(W46="Долги + Аукцион",AND(Y46&lt;&gt;"",AA46&lt;&gt;"",AA46&gt;Y46*0.3)),"Стартовая ставка выше 30% от «Продать сейчас»",""),IF(AND(W46="Долги + Аукцион",AND(AB46&lt;&gt;"",AC46&lt;&gt;"",AC46&lt;EDATE(AB46,3)+15)),"Аукцион короче 3 месяцев и 15 дней",""))))</f>
        <v/>
      </c>
      <c r="AP46" s="35">
        <f>IF(NOT(COUNTA(A46:AN46)&gt;0),"",IF(TEXTJOIN(", ",TRUE,IF(AL46="","Описание",""),IF(AND(AI46&lt;&gt;"",AI46&gt;=1,AI46&lt;5),"Фото меньше 5",""),IF(AK46="","Видео",""),IF(H46="","Кадастровый номер",""),IF(AJ46="","Ссылка на фото",""),IF(OR(AD46="",AD46="Нет"),"Кредитный договор",""),IF(OR(AE46="",AE46="Нет"),"Нотариальная закладная",""),IF(OR(AF46="",AF46="Нет"),"Выписка из реестра",""),IF(OR(AG46="",AG46="Нет"),"Оценка объекта",""),IF(AH46="","Статус в суде",""))="","",TEXTJOIN(", ",TRUE,IF(AL46="","Описание",""),IF(AND(AI46&lt;&gt;"",AI46&gt;=1,AI46&lt;5),"Фото меньше 5",""),IF(AK46="","Видео",""),IF(H46="","Кадастровый номер",""),IF(AJ46="","Ссылка на фото",""),IF(OR(AD46="",AD46="Нет"),"Кредитный договор",""),IF(OR(AE46="",AE46="Нет"),"Нотариальная закладная",""),IF(OR(AF46="",AF46="Нет"),"Выписка из реестра",""),IF(OR(AG46="",AG46="Нет"),"Оценка объекта",""),IF(AH46="","Статус в суде",""))))</f>
        <v/>
      </c>
      <c r="AQ46" s="35">
        <f>IF(NOT(COUNTA(A46:AN46)&gt;0),"",IF(AO46="","Можно публиковать","Не хватает"))</f>
        <v/>
      </c>
    </row>
    <row r="47" ht="22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 t="n"/>
      <c r="K47" s="31" t="n"/>
      <c r="L47" s="31" t="n"/>
      <c r="M47" s="32" t="n"/>
      <c r="N47" s="32" t="n"/>
      <c r="O47" s="32" t="n"/>
      <c r="P47" s="32" t="n"/>
      <c r="Q47" s="32" t="n"/>
      <c r="R47" s="32" t="n"/>
      <c r="S47" s="30" t="n"/>
      <c r="T47" s="30" t="n"/>
      <c r="U47" s="30" t="n"/>
      <c r="V47" s="30" t="n"/>
      <c r="W47" s="30" t="n"/>
      <c r="X47" s="33" t="n"/>
      <c r="Y47" s="33" t="n"/>
      <c r="Z47" s="33" t="n"/>
      <c r="AA47" s="33" t="n"/>
      <c r="AB47" s="34" t="n"/>
      <c r="AC47" s="34" t="n"/>
      <c r="AD47" s="30" t="n"/>
      <c r="AE47" s="30" t="n"/>
      <c r="AF47" s="30" t="n"/>
      <c r="AG47" s="30" t="n"/>
      <c r="AH47" s="30" t="n"/>
      <c r="AI47" s="32" t="n"/>
      <c r="AJ47" s="30" t="n"/>
      <c r="AK47" s="30" t="n"/>
      <c r="AL47" s="30" t="n"/>
      <c r="AM47" s="30" t="n"/>
      <c r="AN47" s="30" t="n"/>
      <c r="AO47" s="35">
        <f>IF(NOT(COUNTA(A47:AN47)&gt;0),"",IF(TEXTJOIN(", ",TRUE,IF(B47="","Название",""),IF(C47="","Тип недвижимости",""),IF(D47="","Страна",""),IF(E47="","Город",""),IF(F47="","Улица",""),IF(I47="","Валюта",""),IF(OR(AI47="",AI47&lt;1),"Хотя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земли",""),IF(W47="","Формат долга",""),IF(OR(X47="",X47&lt;=0),"Сумма долга",""),IF(AND(W47="Долги + Аукцион",OR(Y47="",Y47&lt;=0)),"Продать сейчас",""),IF(AND(W47="Долги + Аукцион",OR(Z47="",Z47&lt;=0)),"Минимальная цена продажи",""),IF(AND(W47="Долги + Аукцион",OR(AA47="",AA47&lt;=0)),"Стартовая ставка",""),IF(AND(W47="Долги + Аукцион",AB47=""),"Начало аукциона",""),IF(AND(W47="Долги + Аукцион",AC47=""),"Окончание аукциона",""),IF(AND(W47="Долги + Аукцион",AND(Y47&lt;&gt;"",Z47&lt;&gt;"",Z47&gt;Y47)),"Минимальная цена выше «Продать сейчас»",""),IF(AND(W47="Долги + Аукцион",AND(Y47&lt;&gt;"",Z47&lt;&gt;"",Z47&lt;=Y47,Z47&gt;Y47*0.9)),"Минимальная цена выше 90% от «Продать сейчас»",""),IF(AND(W47="Долги + Аукцион",AND(Y47&lt;&gt;"",AA47&lt;&gt;"",AA47&gt;Y47*0.3)),"Стартовая ставка выше 30% от «Продать сейчас»",""),IF(AND(W47="Долги + Аукцион",AND(AB47&lt;&gt;"",AC47&lt;&gt;"",AC47&lt;EDATE(AB47,3)+15)),"Аукцион короче 3 месяцев и 15 дней",""))="","",TEXTJOIN(", ",TRUE,IF(B47="","Название",""),IF(C47="","Тип недвижимости",""),IF(D47="","Страна",""),IF(E47="","Город",""),IF(F47="","Улица",""),IF(I47="","Валюта",""),IF(OR(AI47="",AI47&lt;1),"Хотя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земли",""),IF(W47="","Формат долга",""),IF(OR(X47="",X47&lt;=0),"Сумма долга",""),IF(AND(W47="Долги + Аукцион",OR(Y47="",Y47&lt;=0)),"Продать сейчас",""),IF(AND(W47="Долги + Аукцион",OR(Z47="",Z47&lt;=0)),"Минимальная цена продажи",""),IF(AND(W47="Долги + Аукцион",OR(AA47="",AA47&lt;=0)),"Стартовая ставка",""),IF(AND(W47="Долги + Аукцион",AB47=""),"Начало аукциона",""),IF(AND(W47="Долги + Аукцион",AC47=""),"Окончание аукциона",""),IF(AND(W47="Долги + Аукцион",AND(Y47&lt;&gt;"",Z47&lt;&gt;"",Z47&gt;Y47)),"Минимальная цена выше «Продать сейчас»",""),IF(AND(W47="Долги + Аукцион",AND(Y47&lt;&gt;"",Z47&lt;&gt;"",Z47&lt;=Y47,Z47&gt;Y47*0.9)),"Минимальная цена выше 90% от «Продать сейчас»",""),IF(AND(W47="Долги + Аукцион",AND(Y47&lt;&gt;"",AA47&lt;&gt;"",AA47&gt;Y47*0.3)),"Стартовая ставка выше 30% от «Продать сейчас»",""),IF(AND(W47="Долги + Аукцион",AND(AB47&lt;&gt;"",AC47&lt;&gt;"",AC47&lt;EDATE(AB47,3)+15)),"Аукцион короче 3 месяцев и 15 дней",""))))</f>
        <v/>
      </c>
      <c r="AP47" s="35">
        <f>IF(NOT(COUNTA(A47:AN47)&gt;0),"",IF(TEXTJOIN(", ",TRUE,IF(AL47="","Описание",""),IF(AND(AI47&lt;&gt;"",AI47&gt;=1,AI47&lt;5),"Фото меньше 5",""),IF(AK47="","Видео",""),IF(H47="","Кадастровый номер",""),IF(AJ47="","Ссылка на фото",""),IF(OR(AD47="",AD47="Нет"),"Кредитный договор",""),IF(OR(AE47="",AE47="Нет"),"Нотариальная закладная",""),IF(OR(AF47="",AF47="Нет"),"Выписка из реестра",""),IF(OR(AG47="",AG47="Нет"),"Оценка объекта",""),IF(AH47="","Статус в суде",""))="","",TEXTJOIN(", ",TRUE,IF(AL47="","Описание",""),IF(AND(AI47&lt;&gt;"",AI47&gt;=1,AI47&lt;5),"Фото меньше 5",""),IF(AK47="","Видео",""),IF(H47="","Кадастровый номер",""),IF(AJ47="","Ссылка на фото",""),IF(OR(AD47="",AD47="Нет"),"Кредитный договор",""),IF(OR(AE47="",AE47="Нет"),"Нотариальная закладная",""),IF(OR(AF47="",AF47="Нет"),"Выписка из реестра",""),IF(OR(AG47="",AG47="Нет"),"Оценка объекта",""),IF(AH47="","Статус в суде",""))))</f>
        <v/>
      </c>
      <c r="AQ47" s="35">
        <f>IF(NOT(COUNTA(A47:AN47)&gt;0),"",IF(AO47="","Можно публиковать","Не хватает"))</f>
        <v/>
      </c>
    </row>
    <row r="48" ht="22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7" t="n"/>
      <c r="K48" s="37" t="n"/>
      <c r="L48" s="37" t="n"/>
      <c r="M48" s="38" t="n"/>
      <c r="N48" s="38" t="n"/>
      <c r="O48" s="38" t="n"/>
      <c r="P48" s="38" t="n"/>
      <c r="Q48" s="38" t="n"/>
      <c r="R48" s="38" t="n"/>
      <c r="S48" s="36" t="n"/>
      <c r="T48" s="36" t="n"/>
      <c r="U48" s="36" t="n"/>
      <c r="V48" s="36" t="n"/>
      <c r="W48" s="36" t="n"/>
      <c r="X48" s="39" t="n"/>
      <c r="Y48" s="39" t="n"/>
      <c r="Z48" s="39" t="n"/>
      <c r="AA48" s="39" t="n"/>
      <c r="AB48" s="40" t="n"/>
      <c r="AC48" s="40" t="n"/>
      <c r="AD48" s="36" t="n"/>
      <c r="AE48" s="36" t="n"/>
      <c r="AF48" s="36" t="n"/>
      <c r="AG48" s="36" t="n"/>
      <c r="AH48" s="36" t="n"/>
      <c r="AI48" s="38" t="n"/>
      <c r="AJ48" s="36" t="n"/>
      <c r="AK48" s="36" t="n"/>
      <c r="AL48" s="36" t="n"/>
      <c r="AM48" s="36" t="n"/>
      <c r="AN48" s="36" t="n"/>
      <c r="AO48" s="35">
        <f>IF(NOT(COUNTA(A48:AN48)&gt;0),"",IF(TEXTJOIN(", ",TRUE,IF(B48="","Название",""),IF(C48="","Тип недвижимости",""),IF(D48="","Страна",""),IF(E48="","Город",""),IF(F48="","Улица",""),IF(I48="","Валюта",""),IF(OR(AI48="",AI48&lt;1),"Хотя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земли",""),IF(W48="","Формат долга",""),IF(OR(X48="",X48&lt;=0),"Сумма долга",""),IF(AND(W48="Долги + Аукцион",OR(Y48="",Y48&lt;=0)),"Продать сейчас",""),IF(AND(W48="Долги + Аукцион",OR(Z48="",Z48&lt;=0)),"Минимальная цена продажи",""),IF(AND(W48="Долги + Аукцион",OR(AA48="",AA48&lt;=0)),"Стартовая ставка",""),IF(AND(W48="Долги + Аукцион",AB48=""),"Начало аукциона",""),IF(AND(W48="Долги + Аукцион",AC48=""),"Окончание аукциона",""),IF(AND(W48="Долги + Аукцион",AND(Y48&lt;&gt;"",Z48&lt;&gt;"",Z48&gt;Y48)),"Минимальная цена выше «Продать сейчас»",""),IF(AND(W48="Долги + Аукцион",AND(Y48&lt;&gt;"",Z48&lt;&gt;"",Z48&lt;=Y48,Z48&gt;Y48*0.9)),"Минимальная цена выше 90% от «Продать сейчас»",""),IF(AND(W48="Долги + Аукцион",AND(Y48&lt;&gt;"",AA48&lt;&gt;"",AA48&gt;Y48*0.3)),"Стартовая ставка выше 30% от «Продать сейчас»",""),IF(AND(W48="Долги + Аукцион",AND(AB48&lt;&gt;"",AC48&lt;&gt;"",AC48&lt;EDATE(AB48,3)+15)),"Аукцион короче 3 месяцев и 15 дней",""))="","",TEXTJOIN(", ",TRUE,IF(B48="","Название",""),IF(C48="","Тип недвижимости",""),IF(D48="","Страна",""),IF(E48="","Город",""),IF(F48="","Улица",""),IF(I48="","Валюта",""),IF(OR(AI48="",AI48&lt;1),"Хотя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земли",""),IF(W48="","Формат долга",""),IF(OR(X48="",X48&lt;=0),"Сумма долга",""),IF(AND(W48="Долги + Аукцион",OR(Y48="",Y48&lt;=0)),"Продать сейчас",""),IF(AND(W48="Долги + Аукцион",OR(Z48="",Z48&lt;=0)),"Минимальная цена продажи",""),IF(AND(W48="Долги + Аукцион",OR(AA48="",AA48&lt;=0)),"Стартовая ставка",""),IF(AND(W48="Долги + Аукцион",AB48=""),"Начало аукциона",""),IF(AND(W48="Долги + Аукцион",AC48=""),"Окончание аукциона",""),IF(AND(W48="Долги + Аукцион",AND(Y48&lt;&gt;"",Z48&lt;&gt;"",Z48&gt;Y48)),"Минимальная цена выше «Продать сейчас»",""),IF(AND(W48="Долги + Аукцион",AND(Y48&lt;&gt;"",Z48&lt;&gt;"",Z48&lt;=Y48,Z48&gt;Y48*0.9)),"Минимальная цена выше 90% от «Продать сейчас»",""),IF(AND(W48="Долги + Аукцион",AND(Y48&lt;&gt;"",AA48&lt;&gt;"",AA48&gt;Y48*0.3)),"Стартовая ставка выше 30% от «Продать сейчас»",""),IF(AND(W48="Долги + Аукцион",AND(AB48&lt;&gt;"",AC48&lt;&gt;"",AC48&lt;EDATE(AB48,3)+15)),"Аукцион короче 3 месяцев и 15 дней",""))))</f>
        <v/>
      </c>
      <c r="AP48" s="35">
        <f>IF(NOT(COUNTA(A48:AN48)&gt;0),"",IF(TEXTJOIN(", ",TRUE,IF(AL48="","Описание",""),IF(AND(AI48&lt;&gt;"",AI48&gt;=1,AI48&lt;5),"Фото меньше 5",""),IF(AK48="","Видео",""),IF(H48="","Кадастровый номер",""),IF(AJ48="","Ссылка на фото",""),IF(OR(AD48="",AD48="Нет"),"Кредитный договор",""),IF(OR(AE48="",AE48="Нет"),"Нотариальная закладная",""),IF(OR(AF48="",AF48="Нет"),"Выписка из реестра",""),IF(OR(AG48="",AG48="Нет"),"Оценка объекта",""),IF(AH48="","Статус в суде",""))="","",TEXTJOIN(", ",TRUE,IF(AL48="","Описание",""),IF(AND(AI48&lt;&gt;"",AI48&gt;=1,AI48&lt;5),"Фото меньше 5",""),IF(AK48="","Видео",""),IF(H48="","Кадастровый номер",""),IF(AJ48="","Ссылка на фото",""),IF(OR(AD48="",AD48="Нет"),"Кредитный договор",""),IF(OR(AE48="",AE48="Нет"),"Нотариальная закладная",""),IF(OR(AF48="",AF48="Нет"),"Выписка из реестра",""),IF(OR(AG48="",AG48="Нет"),"Оценка объекта",""),IF(AH48="","Статус в суде",""))))</f>
        <v/>
      </c>
      <c r="AQ48" s="35">
        <f>IF(NOT(COUNTA(A48:AN48)&gt;0),"",IF(AO48="","Можно публиковать","Не хватает"))</f>
        <v/>
      </c>
    </row>
    <row r="49" ht="22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  <c r="K49" s="31" t="n"/>
      <c r="L49" s="31" t="n"/>
      <c r="M49" s="32" t="n"/>
      <c r="N49" s="32" t="n"/>
      <c r="O49" s="32" t="n"/>
      <c r="P49" s="32" t="n"/>
      <c r="Q49" s="32" t="n"/>
      <c r="R49" s="32" t="n"/>
      <c r="S49" s="30" t="n"/>
      <c r="T49" s="30" t="n"/>
      <c r="U49" s="30" t="n"/>
      <c r="V49" s="30" t="n"/>
      <c r="W49" s="30" t="n"/>
      <c r="X49" s="33" t="n"/>
      <c r="Y49" s="33" t="n"/>
      <c r="Z49" s="33" t="n"/>
      <c r="AA49" s="33" t="n"/>
      <c r="AB49" s="34" t="n"/>
      <c r="AC49" s="34" t="n"/>
      <c r="AD49" s="30" t="n"/>
      <c r="AE49" s="30" t="n"/>
      <c r="AF49" s="30" t="n"/>
      <c r="AG49" s="30" t="n"/>
      <c r="AH49" s="30" t="n"/>
      <c r="AI49" s="32" t="n"/>
      <c r="AJ49" s="30" t="n"/>
      <c r="AK49" s="30" t="n"/>
      <c r="AL49" s="30" t="n"/>
      <c r="AM49" s="30" t="n"/>
      <c r="AN49" s="30" t="n"/>
      <c r="AO49" s="35">
        <f>IF(NOT(COUNTA(A49:AN49)&gt;0),"",IF(TEXTJOIN(", ",TRUE,IF(B49="","Название",""),IF(C49="","Тип недвижимости",""),IF(D49="","Страна",""),IF(E49="","Город",""),IF(F49="","Улица",""),IF(I49="","Валюта",""),IF(OR(AI49="",AI49&lt;1),"Хотя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земли",""),IF(W49="","Формат долга",""),IF(OR(X49="",X49&lt;=0),"Сумма долга",""),IF(AND(W49="Долги + Аукцион",OR(Y49="",Y49&lt;=0)),"Продать сейчас",""),IF(AND(W49="Долги + Аукцион",OR(Z49="",Z49&lt;=0)),"Минимальная цена продажи",""),IF(AND(W49="Долги + Аукцион",OR(AA49="",AA49&lt;=0)),"Стартовая ставка",""),IF(AND(W49="Долги + Аукцион",AB49=""),"Начало аукциона",""),IF(AND(W49="Долги + Аукцион",AC49=""),"Окончание аукциона",""),IF(AND(W49="Долги + Аукцион",AND(Y49&lt;&gt;"",Z49&lt;&gt;"",Z49&gt;Y49)),"Минимальная цена выше «Продать сейчас»",""),IF(AND(W49="Долги + Аукцион",AND(Y49&lt;&gt;"",Z49&lt;&gt;"",Z49&lt;=Y49,Z49&gt;Y49*0.9)),"Минимальная цена выше 90% от «Продать сейчас»",""),IF(AND(W49="Долги + Аукцион",AND(Y49&lt;&gt;"",AA49&lt;&gt;"",AA49&gt;Y49*0.3)),"Стартовая ставка выше 30% от «Продать сейчас»",""),IF(AND(W49="Долги + Аукцион",AND(AB49&lt;&gt;"",AC49&lt;&gt;"",AC49&lt;EDATE(AB49,3)+15)),"Аукцион короче 3 месяцев и 15 дней",""))="","",TEXTJOIN(", ",TRUE,IF(B49="","Название",""),IF(C49="","Тип недвижимости",""),IF(D49="","Страна",""),IF(E49="","Город",""),IF(F49="","Улица",""),IF(I49="","Валюта",""),IF(OR(AI49="",AI49&lt;1),"Хотя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земли",""),IF(W49="","Формат долга",""),IF(OR(X49="",X49&lt;=0),"Сумма долга",""),IF(AND(W49="Долги + Аукцион",OR(Y49="",Y49&lt;=0)),"Продать сейчас",""),IF(AND(W49="Долги + Аукцион",OR(Z49="",Z49&lt;=0)),"Минимальная цена продажи",""),IF(AND(W49="Долги + Аукцион",OR(AA49="",AA49&lt;=0)),"Стартовая ставка",""),IF(AND(W49="Долги + Аукцион",AB49=""),"Начало аукциона",""),IF(AND(W49="Долги + Аукцион",AC49=""),"Окончание аукциона",""),IF(AND(W49="Долги + Аукцион",AND(Y49&lt;&gt;"",Z49&lt;&gt;"",Z49&gt;Y49)),"Минимальная цена выше «Продать сейчас»",""),IF(AND(W49="Долги + Аукцион",AND(Y49&lt;&gt;"",Z49&lt;&gt;"",Z49&lt;=Y49,Z49&gt;Y49*0.9)),"Минимальная цена выше 90% от «Продать сейчас»",""),IF(AND(W49="Долги + Аукцион",AND(Y49&lt;&gt;"",AA49&lt;&gt;"",AA49&gt;Y49*0.3)),"Стартовая ставка выше 30% от «Продать сейчас»",""),IF(AND(W49="Долги + Аукцион",AND(AB49&lt;&gt;"",AC49&lt;&gt;"",AC49&lt;EDATE(AB49,3)+15)),"Аукцион короче 3 месяцев и 15 дней",""))))</f>
        <v/>
      </c>
      <c r="AP49" s="35">
        <f>IF(NOT(COUNTA(A49:AN49)&gt;0),"",IF(TEXTJOIN(", ",TRUE,IF(AL49="","Описание",""),IF(AND(AI49&lt;&gt;"",AI49&gt;=1,AI49&lt;5),"Фото меньше 5",""),IF(AK49="","Видео",""),IF(H49="","Кадастровый номер",""),IF(AJ49="","Ссылка на фото",""),IF(OR(AD49="",AD49="Нет"),"Кредитный договор",""),IF(OR(AE49="",AE49="Нет"),"Нотариальная закладная",""),IF(OR(AF49="",AF49="Нет"),"Выписка из реестра",""),IF(OR(AG49="",AG49="Нет"),"Оценка объекта",""),IF(AH49="","Статус в суде",""))="","",TEXTJOIN(", ",TRUE,IF(AL49="","Описание",""),IF(AND(AI49&lt;&gt;"",AI49&gt;=1,AI49&lt;5),"Фото меньше 5",""),IF(AK49="","Видео",""),IF(H49="","Кадастровый номер",""),IF(AJ49="","Ссылка на фото",""),IF(OR(AD49="",AD49="Нет"),"Кредитный договор",""),IF(OR(AE49="",AE49="Нет"),"Нотариальная закладная",""),IF(OR(AF49="",AF49="Нет"),"Выписка из реестра",""),IF(OR(AG49="",AG49="Нет"),"Оценка объекта",""),IF(AH49="","Статус в суде",""))))</f>
        <v/>
      </c>
      <c r="AQ49" s="35">
        <f>IF(NOT(COUNTA(A49:AN49)&gt;0),"",IF(AO49="","Можно публиковать","Не хватает"))</f>
        <v/>
      </c>
    </row>
    <row r="50" ht="22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7" t="n"/>
      <c r="K50" s="37" t="n"/>
      <c r="L50" s="37" t="n"/>
      <c r="M50" s="38" t="n"/>
      <c r="N50" s="38" t="n"/>
      <c r="O50" s="38" t="n"/>
      <c r="P50" s="38" t="n"/>
      <c r="Q50" s="38" t="n"/>
      <c r="R50" s="38" t="n"/>
      <c r="S50" s="36" t="n"/>
      <c r="T50" s="36" t="n"/>
      <c r="U50" s="36" t="n"/>
      <c r="V50" s="36" t="n"/>
      <c r="W50" s="36" t="n"/>
      <c r="X50" s="39" t="n"/>
      <c r="Y50" s="39" t="n"/>
      <c r="Z50" s="39" t="n"/>
      <c r="AA50" s="39" t="n"/>
      <c r="AB50" s="40" t="n"/>
      <c r="AC50" s="40" t="n"/>
      <c r="AD50" s="36" t="n"/>
      <c r="AE50" s="36" t="n"/>
      <c r="AF50" s="36" t="n"/>
      <c r="AG50" s="36" t="n"/>
      <c r="AH50" s="36" t="n"/>
      <c r="AI50" s="38" t="n"/>
      <c r="AJ50" s="36" t="n"/>
      <c r="AK50" s="36" t="n"/>
      <c r="AL50" s="36" t="n"/>
      <c r="AM50" s="36" t="n"/>
      <c r="AN50" s="36" t="n"/>
      <c r="AO50" s="35">
        <f>IF(NOT(COUNTA(A50:AN50)&gt;0),"",IF(TEXTJOIN(", ",TRUE,IF(B50="","Название",""),IF(C50="","Тип недвижимости",""),IF(D50="","Страна",""),IF(E50="","Город",""),IF(F50="","Улица",""),IF(I50="","Валюта",""),IF(OR(AI50="",AI50&lt;1),"Хотя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земли",""),IF(W50="","Формат долга",""),IF(OR(X50="",X50&lt;=0),"Сумма долга",""),IF(AND(W50="Долги + Аукцион",OR(Y50="",Y50&lt;=0)),"Продать сейчас",""),IF(AND(W50="Долги + Аукцион",OR(Z50="",Z50&lt;=0)),"Минимальная цена продажи",""),IF(AND(W50="Долги + Аукцион",OR(AA50="",AA50&lt;=0)),"Стартовая ставка",""),IF(AND(W50="Долги + Аукцион",AB50=""),"Начало аукциона",""),IF(AND(W50="Долги + Аукцион",AC50=""),"Окончание аукциона",""),IF(AND(W50="Долги + Аукцион",AND(Y50&lt;&gt;"",Z50&lt;&gt;"",Z50&gt;Y50)),"Минимальная цена выше «Продать сейчас»",""),IF(AND(W50="Долги + Аукцион",AND(Y50&lt;&gt;"",Z50&lt;&gt;"",Z50&lt;=Y50,Z50&gt;Y50*0.9)),"Минимальная цена выше 90% от «Продать сейчас»",""),IF(AND(W50="Долги + Аукцион",AND(Y50&lt;&gt;"",AA50&lt;&gt;"",AA50&gt;Y50*0.3)),"Стартовая ставка выше 30% от «Продать сейчас»",""),IF(AND(W50="Долги + Аукцион",AND(AB50&lt;&gt;"",AC50&lt;&gt;"",AC50&lt;EDATE(AB50,3)+15)),"Аукцион короче 3 месяцев и 15 дней",""))="","",TEXTJOIN(", ",TRUE,IF(B50="","Название",""),IF(C50="","Тип недвижимости",""),IF(D50="","Страна",""),IF(E50="","Город",""),IF(F50="","Улица",""),IF(I50="","Валюта",""),IF(OR(AI50="",AI50&lt;1),"Хотя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земли",""),IF(W50="","Формат долга",""),IF(OR(X50="",X50&lt;=0),"Сумма долга",""),IF(AND(W50="Долги + Аукцион",OR(Y50="",Y50&lt;=0)),"Продать сейчас",""),IF(AND(W50="Долги + Аукцион",OR(Z50="",Z50&lt;=0)),"Минимальная цена продажи",""),IF(AND(W50="Долги + Аукцион",OR(AA50="",AA50&lt;=0)),"Стартовая ставка",""),IF(AND(W50="Долги + Аукцион",AB50=""),"Начало аукциона",""),IF(AND(W50="Долги + Аукцион",AC50=""),"Окончание аукциона",""),IF(AND(W50="Долги + Аукцион",AND(Y50&lt;&gt;"",Z50&lt;&gt;"",Z50&gt;Y50)),"Минимальная цена выше «Продать сейчас»",""),IF(AND(W50="Долги + Аукцион",AND(Y50&lt;&gt;"",Z50&lt;&gt;"",Z50&lt;=Y50,Z50&gt;Y50*0.9)),"Минимальная цена выше 90% от «Продать сейчас»",""),IF(AND(W50="Долги + Аукцион",AND(Y50&lt;&gt;"",AA50&lt;&gt;"",AA50&gt;Y50*0.3)),"Стартовая ставка выше 30% от «Продать сейчас»",""),IF(AND(W50="Долги + Аукцион",AND(AB50&lt;&gt;"",AC50&lt;&gt;"",AC50&lt;EDATE(AB50,3)+15)),"Аукцион короче 3 месяцев и 15 дней",""))))</f>
        <v/>
      </c>
      <c r="AP50" s="35">
        <f>IF(NOT(COUNTA(A50:AN50)&gt;0),"",IF(TEXTJOIN(", ",TRUE,IF(AL50="","Описание",""),IF(AND(AI50&lt;&gt;"",AI50&gt;=1,AI50&lt;5),"Фото меньше 5",""),IF(AK50="","Видео",""),IF(H50="","Кадастровый номер",""),IF(AJ50="","Ссылка на фото",""),IF(OR(AD50="",AD50="Нет"),"Кредитный договор",""),IF(OR(AE50="",AE50="Нет"),"Нотариальная закладная",""),IF(OR(AF50="",AF50="Нет"),"Выписка из реестра",""),IF(OR(AG50="",AG50="Нет"),"Оценка объекта",""),IF(AH50="","Статус в суде",""))="","",TEXTJOIN(", ",TRUE,IF(AL50="","Описание",""),IF(AND(AI50&lt;&gt;"",AI50&gt;=1,AI50&lt;5),"Фото меньше 5",""),IF(AK50="","Видео",""),IF(H50="","Кадастровый номер",""),IF(AJ50="","Ссылка на фото",""),IF(OR(AD50="",AD50="Нет"),"Кредитный договор",""),IF(OR(AE50="",AE50="Нет"),"Нотариальная закладная",""),IF(OR(AF50="",AF50="Нет"),"Выписка из реестра",""),IF(OR(AG50="",AG50="Нет"),"Оценка объекта",""),IF(AH50="","Статус в суде",""))))</f>
        <v/>
      </c>
      <c r="AQ50" s="35">
        <f>IF(NOT(COUNTA(A50:AN50)&gt;0),"",IF(AO50="","Можно публиковать","Не хватает"))</f>
        <v/>
      </c>
    </row>
    <row r="51" ht="22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 t="n"/>
      <c r="K51" s="31" t="n"/>
      <c r="L51" s="31" t="n"/>
      <c r="M51" s="32" t="n"/>
      <c r="N51" s="32" t="n"/>
      <c r="O51" s="32" t="n"/>
      <c r="P51" s="32" t="n"/>
      <c r="Q51" s="32" t="n"/>
      <c r="R51" s="32" t="n"/>
      <c r="S51" s="30" t="n"/>
      <c r="T51" s="30" t="n"/>
      <c r="U51" s="30" t="n"/>
      <c r="V51" s="30" t="n"/>
      <c r="W51" s="30" t="n"/>
      <c r="X51" s="33" t="n"/>
      <c r="Y51" s="33" t="n"/>
      <c r="Z51" s="33" t="n"/>
      <c r="AA51" s="33" t="n"/>
      <c r="AB51" s="34" t="n"/>
      <c r="AC51" s="34" t="n"/>
      <c r="AD51" s="30" t="n"/>
      <c r="AE51" s="30" t="n"/>
      <c r="AF51" s="30" t="n"/>
      <c r="AG51" s="30" t="n"/>
      <c r="AH51" s="30" t="n"/>
      <c r="AI51" s="32" t="n"/>
      <c r="AJ51" s="30" t="n"/>
      <c r="AK51" s="30" t="n"/>
      <c r="AL51" s="30" t="n"/>
      <c r="AM51" s="30" t="n"/>
      <c r="AN51" s="30" t="n"/>
      <c r="AO51" s="35">
        <f>IF(NOT(COUNTA(A51:AN51)&gt;0),"",IF(TEXTJOIN(", ",TRUE,IF(B51="","Название",""),IF(C51="","Тип недвижимости",""),IF(D51="","Страна",""),IF(E51="","Город",""),IF(F51="","Улица",""),IF(I51="","Валюта",""),IF(OR(AI51="",AI51&lt;1),"Хотя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земли",""),IF(W51="","Формат долга",""),IF(OR(X51="",X51&lt;=0),"Сумма долга",""),IF(AND(W51="Долги + Аукцион",OR(Y51="",Y51&lt;=0)),"Продать сейчас",""),IF(AND(W51="Долги + Аукцион",OR(Z51="",Z51&lt;=0)),"Минимальная цена продажи",""),IF(AND(W51="Долги + Аукцион",OR(AA51="",AA51&lt;=0)),"Стартовая ставка",""),IF(AND(W51="Долги + Аукцион",AB51=""),"Начало аукциона",""),IF(AND(W51="Долги + Аукцион",AC51=""),"Окончание аукциона",""),IF(AND(W51="Долги + Аукцион",AND(Y51&lt;&gt;"",Z51&lt;&gt;"",Z51&gt;Y51)),"Минимальная цена выше «Продать сейчас»",""),IF(AND(W51="Долги + Аукцион",AND(Y51&lt;&gt;"",Z51&lt;&gt;"",Z51&lt;=Y51,Z51&gt;Y51*0.9)),"Минимальная цена выше 90% от «Продать сейчас»",""),IF(AND(W51="Долги + Аукцион",AND(Y51&lt;&gt;"",AA51&lt;&gt;"",AA51&gt;Y51*0.3)),"Стартовая ставка выше 30% от «Продать сейчас»",""),IF(AND(W51="Долги + Аукцион",AND(AB51&lt;&gt;"",AC51&lt;&gt;"",AC51&lt;EDATE(AB51,3)+15)),"Аукцион короче 3 месяцев и 15 дней",""))="","",TEXTJOIN(", ",TRUE,IF(B51="","Название",""),IF(C51="","Тип недвижимости",""),IF(D51="","Страна",""),IF(E51="","Город",""),IF(F51="","Улица",""),IF(I51="","Валюта",""),IF(OR(AI51="",AI51&lt;1),"Хотя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земли",""),IF(W51="","Формат долга",""),IF(OR(X51="",X51&lt;=0),"Сумма долга",""),IF(AND(W51="Долги + Аукцион",OR(Y51="",Y51&lt;=0)),"Продать сейчас",""),IF(AND(W51="Долги + Аукцион",OR(Z51="",Z51&lt;=0)),"Минимальная цена продажи",""),IF(AND(W51="Долги + Аукцион",OR(AA51="",AA51&lt;=0)),"Стартовая ставка",""),IF(AND(W51="Долги + Аукцион",AB51=""),"Начало аукциона",""),IF(AND(W51="Долги + Аукцион",AC51=""),"Окончание аукциона",""),IF(AND(W51="Долги + Аукцион",AND(Y51&lt;&gt;"",Z51&lt;&gt;"",Z51&gt;Y51)),"Минимальная цена выше «Продать сейчас»",""),IF(AND(W51="Долги + Аукцион",AND(Y51&lt;&gt;"",Z51&lt;&gt;"",Z51&lt;=Y51,Z51&gt;Y51*0.9)),"Минимальная цена выше 90% от «Продать сейчас»",""),IF(AND(W51="Долги + Аукцион",AND(Y51&lt;&gt;"",AA51&lt;&gt;"",AA51&gt;Y51*0.3)),"Стартовая ставка выше 30% от «Продать сейчас»",""),IF(AND(W51="Долги + Аукцион",AND(AB51&lt;&gt;"",AC51&lt;&gt;"",AC51&lt;EDATE(AB51,3)+15)),"Аукцион короче 3 месяцев и 15 дней",""))))</f>
        <v/>
      </c>
      <c r="AP51" s="35">
        <f>IF(NOT(COUNTA(A51:AN51)&gt;0),"",IF(TEXTJOIN(", ",TRUE,IF(AL51="","Описание",""),IF(AND(AI51&lt;&gt;"",AI51&gt;=1,AI51&lt;5),"Фото меньше 5",""),IF(AK51="","Видео",""),IF(H51="","Кадастровый номер",""),IF(AJ51="","Ссылка на фото",""),IF(OR(AD51="",AD51="Нет"),"Кредитный договор",""),IF(OR(AE51="",AE51="Нет"),"Нотариальная закладная",""),IF(OR(AF51="",AF51="Нет"),"Выписка из реестра",""),IF(OR(AG51="",AG51="Нет"),"Оценка объекта",""),IF(AH51="","Статус в суде",""))="","",TEXTJOIN(", ",TRUE,IF(AL51="","Описание",""),IF(AND(AI51&lt;&gt;"",AI51&gt;=1,AI51&lt;5),"Фото меньше 5",""),IF(AK51="","Видео",""),IF(H51="","Кадастровый номер",""),IF(AJ51="","Ссылка на фото",""),IF(OR(AD51="",AD51="Нет"),"Кредитный договор",""),IF(OR(AE51="",AE51="Нет"),"Нотариальная закладная",""),IF(OR(AF51="",AF51="Нет"),"Выписка из реестра",""),IF(OR(AG51="",AG51="Нет"),"Оценка объекта",""),IF(AH51="","Статус в суде",""))))</f>
        <v/>
      </c>
      <c r="AQ51" s="35">
        <f>IF(NOT(COUNTA(A51:AN51)&gt;0),"",IF(AO51="","Можно публиковать","Не хватает"))</f>
        <v/>
      </c>
    </row>
    <row r="52" ht="22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7" t="n"/>
      <c r="K52" s="37" t="n"/>
      <c r="L52" s="37" t="n"/>
      <c r="M52" s="38" t="n"/>
      <c r="N52" s="38" t="n"/>
      <c r="O52" s="38" t="n"/>
      <c r="P52" s="38" t="n"/>
      <c r="Q52" s="38" t="n"/>
      <c r="R52" s="38" t="n"/>
      <c r="S52" s="36" t="n"/>
      <c r="T52" s="36" t="n"/>
      <c r="U52" s="36" t="n"/>
      <c r="V52" s="36" t="n"/>
      <c r="W52" s="36" t="n"/>
      <c r="X52" s="39" t="n"/>
      <c r="Y52" s="39" t="n"/>
      <c r="Z52" s="39" t="n"/>
      <c r="AA52" s="39" t="n"/>
      <c r="AB52" s="40" t="n"/>
      <c r="AC52" s="40" t="n"/>
      <c r="AD52" s="36" t="n"/>
      <c r="AE52" s="36" t="n"/>
      <c r="AF52" s="36" t="n"/>
      <c r="AG52" s="36" t="n"/>
      <c r="AH52" s="36" t="n"/>
      <c r="AI52" s="38" t="n"/>
      <c r="AJ52" s="36" t="n"/>
      <c r="AK52" s="36" t="n"/>
      <c r="AL52" s="36" t="n"/>
      <c r="AM52" s="36" t="n"/>
      <c r="AN52" s="36" t="n"/>
      <c r="AO52" s="35">
        <f>IF(NOT(COUNTA(A52:AN52)&gt;0),"",IF(TEXTJOIN(", ",TRUE,IF(B52="","Название",""),IF(C52="","Тип недвижимости",""),IF(D52="","Страна",""),IF(E52="","Город",""),IF(F52="","Улица",""),IF(I52="","Валюта",""),IF(OR(AI52="",AI52&lt;1),"Хотя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земли",""),IF(W52="","Формат долга",""),IF(OR(X52="",X52&lt;=0),"Сумма долга",""),IF(AND(W52="Долги + Аукцион",OR(Y52="",Y52&lt;=0)),"Продать сейчас",""),IF(AND(W52="Долги + Аукцион",OR(Z52="",Z52&lt;=0)),"Минимальная цена продажи",""),IF(AND(W52="Долги + Аукцион",OR(AA52="",AA52&lt;=0)),"Стартовая ставка",""),IF(AND(W52="Долги + Аукцион",AB52=""),"Начало аукциона",""),IF(AND(W52="Долги + Аукцион",AC52=""),"Окончание аукциона",""),IF(AND(W52="Долги + Аукцион",AND(Y52&lt;&gt;"",Z52&lt;&gt;"",Z52&gt;Y52)),"Минимальная цена выше «Продать сейчас»",""),IF(AND(W52="Долги + Аукцион",AND(Y52&lt;&gt;"",Z52&lt;&gt;"",Z52&lt;=Y52,Z52&gt;Y52*0.9)),"Минимальная цена выше 90% от «Продать сейчас»",""),IF(AND(W52="Долги + Аукцион",AND(Y52&lt;&gt;"",AA52&lt;&gt;"",AA52&gt;Y52*0.3)),"Стартовая ставка выше 30% от «Продать сейчас»",""),IF(AND(W52="Долги + Аукцион",AND(AB52&lt;&gt;"",AC52&lt;&gt;"",AC52&lt;EDATE(AB52,3)+15)),"Аукцион короче 3 месяцев и 15 дней",""))="","",TEXTJOIN(", ",TRUE,IF(B52="","Название",""),IF(C52="","Тип недвижимости",""),IF(D52="","Страна",""),IF(E52="","Город",""),IF(F52="","Улица",""),IF(I52="","Валюта",""),IF(OR(AI52="",AI52&lt;1),"Хотя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земли",""),IF(W52="","Формат долга",""),IF(OR(X52="",X52&lt;=0),"Сумма долга",""),IF(AND(W52="Долги + Аукцион",OR(Y52="",Y52&lt;=0)),"Продать сейчас",""),IF(AND(W52="Долги + Аукцион",OR(Z52="",Z52&lt;=0)),"Минимальная цена продажи",""),IF(AND(W52="Долги + Аукцион",OR(AA52="",AA52&lt;=0)),"Стартовая ставка",""),IF(AND(W52="Долги + Аукцион",AB52=""),"Начало аукциона",""),IF(AND(W52="Долги + Аукцион",AC52=""),"Окончание аукциона",""),IF(AND(W52="Долги + Аукцион",AND(Y52&lt;&gt;"",Z52&lt;&gt;"",Z52&gt;Y52)),"Минимальная цена выше «Продать сейчас»",""),IF(AND(W52="Долги + Аукцион",AND(Y52&lt;&gt;"",Z52&lt;&gt;"",Z52&lt;=Y52,Z52&gt;Y52*0.9)),"Минимальная цена выше 90% от «Продать сейчас»",""),IF(AND(W52="Долги + Аукцион",AND(Y52&lt;&gt;"",AA52&lt;&gt;"",AA52&gt;Y52*0.3)),"Стартовая ставка выше 30% от «Продать сейчас»",""),IF(AND(W52="Долги + Аукцион",AND(AB52&lt;&gt;"",AC52&lt;&gt;"",AC52&lt;EDATE(AB52,3)+15)),"Аукцион короче 3 месяцев и 15 дней",""))))</f>
        <v/>
      </c>
      <c r="AP52" s="35">
        <f>IF(NOT(COUNTA(A52:AN52)&gt;0),"",IF(TEXTJOIN(", ",TRUE,IF(AL52="","Описание",""),IF(AND(AI52&lt;&gt;"",AI52&gt;=1,AI52&lt;5),"Фото меньше 5",""),IF(AK52="","Видео",""),IF(H52="","Кадастровый номер",""),IF(AJ52="","Ссылка на фото",""),IF(OR(AD52="",AD52="Нет"),"Кредитный договор",""),IF(OR(AE52="",AE52="Нет"),"Нотариальная закладная",""),IF(OR(AF52="",AF52="Нет"),"Выписка из реестра",""),IF(OR(AG52="",AG52="Нет"),"Оценка объекта",""),IF(AH52="","Статус в суде",""))="","",TEXTJOIN(", ",TRUE,IF(AL52="","Описание",""),IF(AND(AI52&lt;&gt;"",AI52&gt;=1,AI52&lt;5),"Фото меньше 5",""),IF(AK52="","Видео",""),IF(H52="","Кадастровый номер",""),IF(AJ52="","Ссылка на фото",""),IF(OR(AD52="",AD52="Нет"),"Кредитный договор",""),IF(OR(AE52="",AE52="Нет"),"Нотариальная закладная",""),IF(OR(AF52="",AF52="Нет"),"Выписка из реестра",""),IF(OR(AG52="",AG52="Нет"),"Оценка объекта",""),IF(AH52="","Статус в суде",""))))</f>
        <v/>
      </c>
      <c r="AQ52" s="35">
        <f>IF(NOT(COUNTA(A52:AN52)&gt;0),"",IF(AO52="","Можно публиковать","Не хватает"))</f>
        <v/>
      </c>
    </row>
    <row r="53" ht="22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  <c r="K53" s="31" t="n"/>
      <c r="L53" s="31" t="n"/>
      <c r="M53" s="32" t="n"/>
      <c r="N53" s="32" t="n"/>
      <c r="O53" s="32" t="n"/>
      <c r="P53" s="32" t="n"/>
      <c r="Q53" s="32" t="n"/>
      <c r="R53" s="32" t="n"/>
      <c r="S53" s="30" t="n"/>
      <c r="T53" s="30" t="n"/>
      <c r="U53" s="30" t="n"/>
      <c r="V53" s="30" t="n"/>
      <c r="W53" s="30" t="n"/>
      <c r="X53" s="33" t="n"/>
      <c r="Y53" s="33" t="n"/>
      <c r="Z53" s="33" t="n"/>
      <c r="AA53" s="33" t="n"/>
      <c r="AB53" s="34" t="n"/>
      <c r="AC53" s="34" t="n"/>
      <c r="AD53" s="30" t="n"/>
      <c r="AE53" s="30" t="n"/>
      <c r="AF53" s="30" t="n"/>
      <c r="AG53" s="30" t="n"/>
      <c r="AH53" s="30" t="n"/>
      <c r="AI53" s="32" t="n"/>
      <c r="AJ53" s="30" t="n"/>
      <c r="AK53" s="30" t="n"/>
      <c r="AL53" s="30" t="n"/>
      <c r="AM53" s="30" t="n"/>
      <c r="AN53" s="30" t="n"/>
      <c r="AO53" s="35">
        <f>IF(NOT(COUNTA(A53:AN53)&gt;0),"",IF(TEXTJOIN(", ",TRUE,IF(B53="","Название",""),IF(C53="","Тип недвижимости",""),IF(D53="","Страна",""),IF(E53="","Город",""),IF(F53="","Улица",""),IF(I53="","Валюта",""),IF(OR(AI53="",AI53&lt;1),"Хотя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земли",""),IF(W53="","Формат долга",""),IF(OR(X53="",X53&lt;=0),"Сумма долга",""),IF(AND(W53="Долги + Аукцион",OR(Y53="",Y53&lt;=0)),"Продать сейчас",""),IF(AND(W53="Долги + Аукцион",OR(Z53="",Z53&lt;=0)),"Минимальная цена продажи",""),IF(AND(W53="Долги + Аукцион",OR(AA53="",AA53&lt;=0)),"Стартовая ставка",""),IF(AND(W53="Долги + Аукцион",AB53=""),"Начало аукциона",""),IF(AND(W53="Долги + Аукцион",AC53=""),"Окончание аукциона",""),IF(AND(W53="Долги + Аукцион",AND(Y53&lt;&gt;"",Z53&lt;&gt;"",Z53&gt;Y53)),"Минимальная цена выше «Продать сейчас»",""),IF(AND(W53="Долги + Аукцион",AND(Y53&lt;&gt;"",Z53&lt;&gt;"",Z53&lt;=Y53,Z53&gt;Y53*0.9)),"Минимальная цена выше 90% от «Продать сейчас»",""),IF(AND(W53="Долги + Аукцион",AND(Y53&lt;&gt;"",AA53&lt;&gt;"",AA53&gt;Y53*0.3)),"Стартовая ставка выше 30% от «Продать сейчас»",""),IF(AND(W53="Долги + Аукцион",AND(AB53&lt;&gt;"",AC53&lt;&gt;"",AC53&lt;EDATE(AB53,3)+15)),"Аукцион короче 3 месяцев и 15 дней",""))="","",TEXTJOIN(", ",TRUE,IF(B53="","Название",""),IF(C53="","Тип недвижимости",""),IF(D53="","Страна",""),IF(E53="","Город",""),IF(F53="","Улица",""),IF(I53="","Валюта",""),IF(OR(AI53="",AI53&lt;1),"Хотя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земли",""),IF(W53="","Формат долга",""),IF(OR(X53="",X53&lt;=0),"Сумма долга",""),IF(AND(W53="Долги + Аукцион",OR(Y53="",Y53&lt;=0)),"Продать сейчас",""),IF(AND(W53="Долги + Аукцион",OR(Z53="",Z53&lt;=0)),"Минимальная цена продажи",""),IF(AND(W53="Долги + Аукцион",OR(AA53="",AA53&lt;=0)),"Стартовая ставка",""),IF(AND(W53="Долги + Аукцион",AB53=""),"Начало аукциона",""),IF(AND(W53="Долги + Аукцион",AC53=""),"Окончание аукциона",""),IF(AND(W53="Долги + Аукцион",AND(Y53&lt;&gt;"",Z53&lt;&gt;"",Z53&gt;Y53)),"Минимальная цена выше «Продать сейчас»",""),IF(AND(W53="Долги + Аукцион",AND(Y53&lt;&gt;"",Z53&lt;&gt;"",Z53&lt;=Y53,Z53&gt;Y53*0.9)),"Минимальная цена выше 90% от «Продать сейчас»",""),IF(AND(W53="Долги + Аукцион",AND(Y53&lt;&gt;"",AA53&lt;&gt;"",AA53&gt;Y53*0.3)),"Стартовая ставка выше 30% от «Продать сейчас»",""),IF(AND(W53="Долги + Аукцион",AND(AB53&lt;&gt;"",AC53&lt;&gt;"",AC53&lt;EDATE(AB53,3)+15)),"Аукцион короче 3 месяцев и 15 дней",""))))</f>
        <v/>
      </c>
      <c r="AP53" s="35">
        <f>IF(NOT(COUNTA(A53:AN53)&gt;0),"",IF(TEXTJOIN(", ",TRUE,IF(AL53="","Описание",""),IF(AND(AI53&lt;&gt;"",AI53&gt;=1,AI53&lt;5),"Фото меньше 5",""),IF(AK53="","Видео",""),IF(H53="","Кадастровый номер",""),IF(AJ53="","Ссылка на фото",""),IF(OR(AD53="",AD53="Нет"),"Кредитный договор",""),IF(OR(AE53="",AE53="Нет"),"Нотариальная закладная",""),IF(OR(AF53="",AF53="Нет"),"Выписка из реестра",""),IF(OR(AG53="",AG53="Нет"),"Оценка объекта",""),IF(AH53="","Статус в суде",""))="","",TEXTJOIN(", ",TRUE,IF(AL53="","Описание",""),IF(AND(AI53&lt;&gt;"",AI53&gt;=1,AI53&lt;5),"Фото меньше 5",""),IF(AK53="","Видео",""),IF(H53="","Кадастровый номер",""),IF(AJ53="","Ссылка на фото",""),IF(OR(AD53="",AD53="Нет"),"Кредитный договор",""),IF(OR(AE53="",AE53="Нет"),"Нотариальная закладная",""),IF(OR(AF53="",AF53="Нет"),"Выписка из реестра",""),IF(OR(AG53="",AG53="Нет"),"Оценка объекта",""),IF(AH53="","Статус в суде",""))))</f>
        <v/>
      </c>
      <c r="AQ53" s="35">
        <f>IF(NOT(COUNTA(A53:AN53)&gt;0),"",IF(AO53="","Можно публиковать","Не хватает"))</f>
        <v/>
      </c>
    </row>
    <row r="54" ht="22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7" t="n"/>
      <c r="K54" s="37" t="n"/>
      <c r="L54" s="37" t="n"/>
      <c r="M54" s="38" t="n"/>
      <c r="N54" s="38" t="n"/>
      <c r="O54" s="38" t="n"/>
      <c r="P54" s="38" t="n"/>
      <c r="Q54" s="38" t="n"/>
      <c r="R54" s="38" t="n"/>
      <c r="S54" s="36" t="n"/>
      <c r="T54" s="36" t="n"/>
      <c r="U54" s="36" t="n"/>
      <c r="V54" s="36" t="n"/>
      <c r="W54" s="36" t="n"/>
      <c r="X54" s="39" t="n"/>
      <c r="Y54" s="39" t="n"/>
      <c r="Z54" s="39" t="n"/>
      <c r="AA54" s="39" t="n"/>
      <c r="AB54" s="40" t="n"/>
      <c r="AC54" s="40" t="n"/>
      <c r="AD54" s="36" t="n"/>
      <c r="AE54" s="36" t="n"/>
      <c r="AF54" s="36" t="n"/>
      <c r="AG54" s="36" t="n"/>
      <c r="AH54" s="36" t="n"/>
      <c r="AI54" s="38" t="n"/>
      <c r="AJ54" s="36" t="n"/>
      <c r="AK54" s="36" t="n"/>
      <c r="AL54" s="36" t="n"/>
      <c r="AM54" s="36" t="n"/>
      <c r="AN54" s="36" t="n"/>
      <c r="AO54" s="35">
        <f>IF(NOT(COUNTA(A54:AN54)&gt;0),"",IF(TEXTJOIN(", ",TRUE,IF(B54="","Название",""),IF(C54="","Тип недвижимости",""),IF(D54="","Страна",""),IF(E54="","Город",""),IF(F54="","Улица",""),IF(I54="","Валюта",""),IF(OR(AI54="",AI54&lt;1),"Хотя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земли",""),IF(W54="","Формат долга",""),IF(OR(X54="",X54&lt;=0),"Сумма долга",""),IF(AND(W54="Долги + Аукцион",OR(Y54="",Y54&lt;=0)),"Продать сейчас",""),IF(AND(W54="Долги + Аукцион",OR(Z54="",Z54&lt;=0)),"Минимальная цена продажи",""),IF(AND(W54="Долги + Аукцион",OR(AA54="",AA54&lt;=0)),"Стартовая ставка",""),IF(AND(W54="Долги + Аукцион",AB54=""),"Начало аукциона",""),IF(AND(W54="Долги + Аукцион",AC54=""),"Окончание аукциона",""),IF(AND(W54="Долги + Аукцион",AND(Y54&lt;&gt;"",Z54&lt;&gt;"",Z54&gt;Y54)),"Минимальная цена выше «Продать сейчас»",""),IF(AND(W54="Долги + Аукцион",AND(Y54&lt;&gt;"",Z54&lt;&gt;"",Z54&lt;=Y54,Z54&gt;Y54*0.9)),"Минимальная цена выше 90% от «Продать сейчас»",""),IF(AND(W54="Долги + Аукцион",AND(Y54&lt;&gt;"",AA54&lt;&gt;"",AA54&gt;Y54*0.3)),"Стартовая ставка выше 30% от «Продать сейчас»",""),IF(AND(W54="Долги + Аукцион",AND(AB54&lt;&gt;"",AC54&lt;&gt;"",AC54&lt;EDATE(AB54,3)+15)),"Аукцион короче 3 месяцев и 15 дней",""))="","",TEXTJOIN(", ",TRUE,IF(B54="","Название",""),IF(C54="","Тип недвижимости",""),IF(D54="","Страна",""),IF(E54="","Город",""),IF(F54="","Улица",""),IF(I54="","Валюта",""),IF(OR(AI54="",AI54&lt;1),"Хотя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земли",""),IF(W54="","Формат долга",""),IF(OR(X54="",X54&lt;=0),"Сумма долга",""),IF(AND(W54="Долги + Аукцион",OR(Y54="",Y54&lt;=0)),"Продать сейчас",""),IF(AND(W54="Долги + Аукцион",OR(Z54="",Z54&lt;=0)),"Минимальная цена продажи",""),IF(AND(W54="Долги + Аукцион",OR(AA54="",AA54&lt;=0)),"Стартовая ставка",""),IF(AND(W54="Долги + Аукцион",AB54=""),"Начало аукциона",""),IF(AND(W54="Долги + Аукцион",AC54=""),"Окончание аукциона",""),IF(AND(W54="Долги + Аукцион",AND(Y54&lt;&gt;"",Z54&lt;&gt;"",Z54&gt;Y54)),"Минимальная цена выше «Продать сейчас»",""),IF(AND(W54="Долги + Аукцион",AND(Y54&lt;&gt;"",Z54&lt;&gt;"",Z54&lt;=Y54,Z54&gt;Y54*0.9)),"Минимальная цена выше 90% от «Продать сейчас»",""),IF(AND(W54="Долги + Аукцион",AND(Y54&lt;&gt;"",AA54&lt;&gt;"",AA54&gt;Y54*0.3)),"Стартовая ставка выше 30% от «Продать сейчас»",""),IF(AND(W54="Долги + Аукцион",AND(AB54&lt;&gt;"",AC54&lt;&gt;"",AC54&lt;EDATE(AB54,3)+15)),"Аукцион короче 3 месяцев и 15 дней",""))))</f>
        <v/>
      </c>
      <c r="AP54" s="35">
        <f>IF(NOT(COUNTA(A54:AN54)&gt;0),"",IF(TEXTJOIN(", ",TRUE,IF(AL54="","Описание",""),IF(AND(AI54&lt;&gt;"",AI54&gt;=1,AI54&lt;5),"Фото меньше 5",""),IF(AK54="","Видео",""),IF(H54="","Кадастровый номер",""),IF(AJ54="","Ссылка на фото",""),IF(OR(AD54="",AD54="Нет"),"Кредитный договор",""),IF(OR(AE54="",AE54="Нет"),"Нотариальная закладная",""),IF(OR(AF54="",AF54="Нет"),"Выписка из реестра",""),IF(OR(AG54="",AG54="Нет"),"Оценка объекта",""),IF(AH54="","Статус в суде",""))="","",TEXTJOIN(", ",TRUE,IF(AL54="","Описание",""),IF(AND(AI54&lt;&gt;"",AI54&gt;=1,AI54&lt;5),"Фото меньше 5",""),IF(AK54="","Видео",""),IF(H54="","Кадастровый номер",""),IF(AJ54="","Ссылка на фото",""),IF(OR(AD54="",AD54="Нет"),"Кредитный договор",""),IF(OR(AE54="",AE54="Нет"),"Нотариальная закладная",""),IF(OR(AF54="",AF54="Нет"),"Выписка из реестра",""),IF(OR(AG54="",AG54="Нет"),"Оценка объекта",""),IF(AH54="","Статус в суде",""))))</f>
        <v/>
      </c>
      <c r="AQ54" s="35">
        <f>IF(NOT(COUNTA(A54:AN54)&gt;0),"",IF(AO54="","Можно публиковать","Не хватает"))</f>
        <v/>
      </c>
    </row>
    <row r="55" ht="22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 t="n"/>
      <c r="K55" s="31" t="n"/>
      <c r="L55" s="31" t="n"/>
      <c r="M55" s="32" t="n"/>
      <c r="N55" s="32" t="n"/>
      <c r="O55" s="32" t="n"/>
      <c r="P55" s="32" t="n"/>
      <c r="Q55" s="32" t="n"/>
      <c r="R55" s="32" t="n"/>
      <c r="S55" s="30" t="n"/>
      <c r="T55" s="30" t="n"/>
      <c r="U55" s="30" t="n"/>
      <c r="V55" s="30" t="n"/>
      <c r="W55" s="30" t="n"/>
      <c r="X55" s="33" t="n"/>
      <c r="Y55" s="33" t="n"/>
      <c r="Z55" s="33" t="n"/>
      <c r="AA55" s="33" t="n"/>
      <c r="AB55" s="34" t="n"/>
      <c r="AC55" s="34" t="n"/>
      <c r="AD55" s="30" t="n"/>
      <c r="AE55" s="30" t="n"/>
      <c r="AF55" s="30" t="n"/>
      <c r="AG55" s="30" t="n"/>
      <c r="AH55" s="30" t="n"/>
      <c r="AI55" s="32" t="n"/>
      <c r="AJ55" s="30" t="n"/>
      <c r="AK55" s="30" t="n"/>
      <c r="AL55" s="30" t="n"/>
      <c r="AM55" s="30" t="n"/>
      <c r="AN55" s="30" t="n"/>
      <c r="AO55" s="35">
        <f>IF(NOT(COUNTA(A55:AN55)&gt;0),"",IF(TEXTJOIN(", ",TRUE,IF(B55="","Название",""),IF(C55="","Тип недвижимости",""),IF(D55="","Страна",""),IF(E55="","Город",""),IF(F55="","Улица",""),IF(I55="","Валюта",""),IF(OR(AI55="",AI55&lt;1),"Хотя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земли",""),IF(W55="","Формат долга",""),IF(OR(X55="",X55&lt;=0),"Сумма долга",""),IF(AND(W55="Долги + Аукцион",OR(Y55="",Y55&lt;=0)),"Продать сейчас",""),IF(AND(W55="Долги + Аукцион",OR(Z55="",Z55&lt;=0)),"Минимальная цена продажи",""),IF(AND(W55="Долги + Аукцион",OR(AA55="",AA55&lt;=0)),"Стартовая ставка",""),IF(AND(W55="Долги + Аукцион",AB55=""),"Начало аукциона",""),IF(AND(W55="Долги + Аукцион",AC55=""),"Окончание аукциона",""),IF(AND(W55="Долги + Аукцион",AND(Y55&lt;&gt;"",Z55&lt;&gt;"",Z55&gt;Y55)),"Минимальная цена выше «Продать сейчас»",""),IF(AND(W55="Долги + Аукцион",AND(Y55&lt;&gt;"",Z55&lt;&gt;"",Z55&lt;=Y55,Z55&gt;Y55*0.9)),"Минимальная цена выше 90% от «Продать сейчас»",""),IF(AND(W55="Долги + Аукцион",AND(Y55&lt;&gt;"",AA55&lt;&gt;"",AA55&gt;Y55*0.3)),"Стартовая ставка выше 30% от «Продать сейчас»",""),IF(AND(W55="Долги + Аукцион",AND(AB55&lt;&gt;"",AC55&lt;&gt;"",AC55&lt;EDATE(AB55,3)+15)),"Аукцион короче 3 месяцев и 15 дней",""))="","",TEXTJOIN(", ",TRUE,IF(B55="","Название",""),IF(C55="","Тип недвижимости",""),IF(D55="","Страна",""),IF(E55="","Город",""),IF(F55="","Улица",""),IF(I55="","Валюта",""),IF(OR(AI55="",AI55&lt;1),"Хотя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земли",""),IF(W55="","Формат долга",""),IF(OR(X55="",X55&lt;=0),"Сумма долга",""),IF(AND(W55="Долги + Аукцион",OR(Y55="",Y55&lt;=0)),"Продать сейчас",""),IF(AND(W55="Долги + Аукцион",OR(Z55="",Z55&lt;=0)),"Минимальная цена продажи",""),IF(AND(W55="Долги + Аукцион",OR(AA55="",AA55&lt;=0)),"Стартовая ставка",""),IF(AND(W55="Долги + Аукцион",AB55=""),"Начало аукциона",""),IF(AND(W55="Долги + Аукцион",AC55=""),"Окончание аукциона",""),IF(AND(W55="Долги + Аукцион",AND(Y55&lt;&gt;"",Z55&lt;&gt;"",Z55&gt;Y55)),"Минимальная цена выше «Продать сейчас»",""),IF(AND(W55="Долги + Аукцион",AND(Y55&lt;&gt;"",Z55&lt;&gt;"",Z55&lt;=Y55,Z55&gt;Y55*0.9)),"Минимальная цена выше 90% от «Продать сейчас»",""),IF(AND(W55="Долги + Аукцион",AND(Y55&lt;&gt;"",AA55&lt;&gt;"",AA55&gt;Y55*0.3)),"Стартовая ставка выше 30% от «Продать сейчас»",""),IF(AND(W55="Долги + Аукцион",AND(AB55&lt;&gt;"",AC55&lt;&gt;"",AC55&lt;EDATE(AB55,3)+15)),"Аукцион короче 3 месяцев и 15 дней",""))))</f>
        <v/>
      </c>
      <c r="AP55" s="35">
        <f>IF(NOT(COUNTA(A55:AN55)&gt;0),"",IF(TEXTJOIN(", ",TRUE,IF(AL55="","Описание",""),IF(AND(AI55&lt;&gt;"",AI55&gt;=1,AI55&lt;5),"Фото меньше 5",""),IF(AK55="","Видео",""),IF(H55="","Кадастровый номер",""),IF(AJ55="","Ссылка на фото",""),IF(OR(AD55="",AD55="Нет"),"Кредитный договор",""),IF(OR(AE55="",AE55="Нет"),"Нотариальная закладная",""),IF(OR(AF55="",AF55="Нет"),"Выписка из реестра",""),IF(OR(AG55="",AG55="Нет"),"Оценка объекта",""),IF(AH55="","Статус в суде",""))="","",TEXTJOIN(", ",TRUE,IF(AL55="","Описание",""),IF(AND(AI55&lt;&gt;"",AI55&gt;=1,AI55&lt;5),"Фото меньше 5",""),IF(AK55="","Видео",""),IF(H55="","Кадастровый номер",""),IF(AJ55="","Ссылка на фото",""),IF(OR(AD55="",AD55="Нет"),"Кредитный договор",""),IF(OR(AE55="",AE55="Нет"),"Нотариальная закладная",""),IF(OR(AF55="",AF55="Нет"),"Выписка из реестра",""),IF(OR(AG55="",AG55="Нет"),"Оценка объекта",""),IF(AH55="","Статус в суде",""))))</f>
        <v/>
      </c>
      <c r="AQ55" s="35">
        <f>IF(NOT(COUNTA(A55:AN55)&gt;0),"",IF(AO55="","Можно публиковать","Не хватает"))</f>
        <v/>
      </c>
    </row>
    <row r="56" ht="22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7" t="n"/>
      <c r="K56" s="37" t="n"/>
      <c r="L56" s="37" t="n"/>
      <c r="M56" s="38" t="n"/>
      <c r="N56" s="38" t="n"/>
      <c r="O56" s="38" t="n"/>
      <c r="P56" s="38" t="n"/>
      <c r="Q56" s="38" t="n"/>
      <c r="R56" s="38" t="n"/>
      <c r="S56" s="36" t="n"/>
      <c r="T56" s="36" t="n"/>
      <c r="U56" s="36" t="n"/>
      <c r="V56" s="36" t="n"/>
      <c r="W56" s="36" t="n"/>
      <c r="X56" s="39" t="n"/>
      <c r="Y56" s="39" t="n"/>
      <c r="Z56" s="39" t="n"/>
      <c r="AA56" s="39" t="n"/>
      <c r="AB56" s="40" t="n"/>
      <c r="AC56" s="40" t="n"/>
      <c r="AD56" s="36" t="n"/>
      <c r="AE56" s="36" t="n"/>
      <c r="AF56" s="36" t="n"/>
      <c r="AG56" s="36" t="n"/>
      <c r="AH56" s="36" t="n"/>
      <c r="AI56" s="38" t="n"/>
      <c r="AJ56" s="36" t="n"/>
      <c r="AK56" s="36" t="n"/>
      <c r="AL56" s="36" t="n"/>
      <c r="AM56" s="36" t="n"/>
      <c r="AN56" s="36" t="n"/>
      <c r="AO56" s="35">
        <f>IF(NOT(COUNTA(A56:AN56)&gt;0),"",IF(TEXTJOIN(", ",TRUE,IF(B56="","Название",""),IF(C56="","Тип недвижимости",""),IF(D56="","Страна",""),IF(E56="","Город",""),IF(F56="","Улица",""),IF(I56="","Валюта",""),IF(OR(AI56="",AI56&lt;1),"Хотя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земли",""),IF(W56="","Формат долга",""),IF(OR(X56="",X56&lt;=0),"Сумма долга",""),IF(AND(W56="Долги + Аукцион",OR(Y56="",Y56&lt;=0)),"Продать сейчас",""),IF(AND(W56="Долги + Аукцион",OR(Z56="",Z56&lt;=0)),"Минимальная цена продажи",""),IF(AND(W56="Долги + Аукцион",OR(AA56="",AA56&lt;=0)),"Стартовая ставка",""),IF(AND(W56="Долги + Аукцион",AB56=""),"Начало аукциона",""),IF(AND(W56="Долги + Аукцион",AC56=""),"Окончание аукциона",""),IF(AND(W56="Долги + Аукцион",AND(Y56&lt;&gt;"",Z56&lt;&gt;"",Z56&gt;Y56)),"Минимальная цена выше «Продать сейчас»",""),IF(AND(W56="Долги + Аукцион",AND(Y56&lt;&gt;"",Z56&lt;&gt;"",Z56&lt;=Y56,Z56&gt;Y56*0.9)),"Минимальная цена выше 90% от «Продать сейчас»",""),IF(AND(W56="Долги + Аукцион",AND(Y56&lt;&gt;"",AA56&lt;&gt;"",AA56&gt;Y56*0.3)),"Стартовая ставка выше 30% от «Продать сейчас»",""),IF(AND(W56="Долги + Аукцион",AND(AB56&lt;&gt;"",AC56&lt;&gt;"",AC56&lt;EDATE(AB56,3)+15)),"Аукцион короче 3 месяцев и 15 дней",""))="","",TEXTJOIN(", ",TRUE,IF(B56="","Название",""),IF(C56="","Тип недвижимости",""),IF(D56="","Страна",""),IF(E56="","Город",""),IF(F56="","Улица",""),IF(I56="","Валюта",""),IF(OR(AI56="",AI56&lt;1),"Хотя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земли",""),IF(W56="","Формат долга",""),IF(OR(X56="",X56&lt;=0),"Сумма долга",""),IF(AND(W56="Долги + Аукцион",OR(Y56="",Y56&lt;=0)),"Продать сейчас",""),IF(AND(W56="Долги + Аукцион",OR(Z56="",Z56&lt;=0)),"Минимальная цена продажи",""),IF(AND(W56="Долги + Аукцион",OR(AA56="",AA56&lt;=0)),"Стартовая ставка",""),IF(AND(W56="Долги + Аукцион",AB56=""),"Начало аукциона",""),IF(AND(W56="Долги + Аукцион",AC56=""),"Окончание аукциона",""),IF(AND(W56="Долги + Аукцион",AND(Y56&lt;&gt;"",Z56&lt;&gt;"",Z56&gt;Y56)),"Минимальная цена выше «Продать сейчас»",""),IF(AND(W56="Долги + Аукцион",AND(Y56&lt;&gt;"",Z56&lt;&gt;"",Z56&lt;=Y56,Z56&gt;Y56*0.9)),"Минимальная цена выше 90% от «Продать сейчас»",""),IF(AND(W56="Долги + Аукцион",AND(Y56&lt;&gt;"",AA56&lt;&gt;"",AA56&gt;Y56*0.3)),"Стартовая ставка выше 30% от «Продать сейчас»",""),IF(AND(W56="Долги + Аукцион",AND(AB56&lt;&gt;"",AC56&lt;&gt;"",AC56&lt;EDATE(AB56,3)+15)),"Аукцион короче 3 месяцев и 15 дней",""))))</f>
        <v/>
      </c>
      <c r="AP56" s="35">
        <f>IF(NOT(COUNTA(A56:AN56)&gt;0),"",IF(TEXTJOIN(", ",TRUE,IF(AL56="","Описание",""),IF(AND(AI56&lt;&gt;"",AI56&gt;=1,AI56&lt;5),"Фото меньше 5",""),IF(AK56="","Видео",""),IF(H56="","Кадастровый номер",""),IF(AJ56="","Ссылка на фото",""),IF(OR(AD56="",AD56="Нет"),"Кредитный договор",""),IF(OR(AE56="",AE56="Нет"),"Нотариальная закладная",""),IF(OR(AF56="",AF56="Нет"),"Выписка из реестра",""),IF(OR(AG56="",AG56="Нет"),"Оценка объекта",""),IF(AH56="","Статус в суде",""))="","",TEXTJOIN(", ",TRUE,IF(AL56="","Описание",""),IF(AND(AI56&lt;&gt;"",AI56&gt;=1,AI56&lt;5),"Фото меньше 5",""),IF(AK56="","Видео",""),IF(H56="","Кадастровый номер",""),IF(AJ56="","Ссылка на фото",""),IF(OR(AD56="",AD56="Нет"),"Кредитный договор",""),IF(OR(AE56="",AE56="Нет"),"Нотариальная закладная",""),IF(OR(AF56="",AF56="Нет"),"Выписка из реестра",""),IF(OR(AG56="",AG56="Нет"),"Оценка объекта",""),IF(AH56="","Статус в суде",""))))</f>
        <v/>
      </c>
      <c r="AQ56" s="35">
        <f>IF(NOT(COUNTA(A56:AN56)&gt;0),"",IF(AO56="","Можно публиковать","Не хватает"))</f>
        <v/>
      </c>
    </row>
    <row r="57" ht="22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  <c r="K57" s="31" t="n"/>
      <c r="L57" s="31" t="n"/>
      <c r="M57" s="32" t="n"/>
      <c r="N57" s="32" t="n"/>
      <c r="O57" s="32" t="n"/>
      <c r="P57" s="32" t="n"/>
      <c r="Q57" s="32" t="n"/>
      <c r="R57" s="32" t="n"/>
      <c r="S57" s="30" t="n"/>
      <c r="T57" s="30" t="n"/>
      <c r="U57" s="30" t="n"/>
      <c r="V57" s="30" t="n"/>
      <c r="W57" s="30" t="n"/>
      <c r="X57" s="33" t="n"/>
      <c r="Y57" s="33" t="n"/>
      <c r="Z57" s="33" t="n"/>
      <c r="AA57" s="33" t="n"/>
      <c r="AB57" s="34" t="n"/>
      <c r="AC57" s="34" t="n"/>
      <c r="AD57" s="30" t="n"/>
      <c r="AE57" s="30" t="n"/>
      <c r="AF57" s="30" t="n"/>
      <c r="AG57" s="30" t="n"/>
      <c r="AH57" s="30" t="n"/>
      <c r="AI57" s="32" t="n"/>
      <c r="AJ57" s="30" t="n"/>
      <c r="AK57" s="30" t="n"/>
      <c r="AL57" s="30" t="n"/>
      <c r="AM57" s="30" t="n"/>
      <c r="AN57" s="30" t="n"/>
      <c r="AO57" s="35">
        <f>IF(NOT(COUNTA(A57:AN57)&gt;0),"",IF(TEXTJOIN(", ",TRUE,IF(B57="","Название",""),IF(C57="","Тип недвижимости",""),IF(D57="","Страна",""),IF(E57="","Город",""),IF(F57="","Улица",""),IF(I57="","Валюта",""),IF(OR(AI57="",AI57&lt;1),"Хотя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земли",""),IF(W57="","Формат долга",""),IF(OR(X57="",X57&lt;=0),"Сумма долга",""),IF(AND(W57="Долги + Аукцион",OR(Y57="",Y57&lt;=0)),"Продать сейчас",""),IF(AND(W57="Долги + Аукцион",OR(Z57="",Z57&lt;=0)),"Минимальная цена продажи",""),IF(AND(W57="Долги + Аукцион",OR(AA57="",AA57&lt;=0)),"Стартовая ставка",""),IF(AND(W57="Долги + Аукцион",AB57=""),"Начало аукциона",""),IF(AND(W57="Долги + Аукцион",AC57=""),"Окончание аукциона",""),IF(AND(W57="Долги + Аукцион",AND(Y57&lt;&gt;"",Z57&lt;&gt;"",Z57&gt;Y57)),"Минимальная цена выше «Продать сейчас»",""),IF(AND(W57="Долги + Аукцион",AND(Y57&lt;&gt;"",Z57&lt;&gt;"",Z57&lt;=Y57,Z57&gt;Y57*0.9)),"Минимальная цена выше 90% от «Продать сейчас»",""),IF(AND(W57="Долги + Аукцион",AND(Y57&lt;&gt;"",AA57&lt;&gt;"",AA57&gt;Y57*0.3)),"Стартовая ставка выше 30% от «Продать сейчас»",""),IF(AND(W57="Долги + Аукцион",AND(AB57&lt;&gt;"",AC57&lt;&gt;"",AC57&lt;EDATE(AB57,3)+15)),"Аукцион короче 3 месяцев и 15 дней",""))="","",TEXTJOIN(", ",TRUE,IF(B57="","Название",""),IF(C57="","Тип недвижимости",""),IF(D57="","Страна",""),IF(E57="","Город",""),IF(F57="","Улица",""),IF(I57="","Валюта",""),IF(OR(AI57="",AI57&lt;1),"Хотя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земли",""),IF(W57="","Формат долга",""),IF(OR(X57="",X57&lt;=0),"Сумма долга",""),IF(AND(W57="Долги + Аукцион",OR(Y57="",Y57&lt;=0)),"Продать сейчас",""),IF(AND(W57="Долги + Аукцион",OR(Z57="",Z57&lt;=0)),"Минимальная цена продажи",""),IF(AND(W57="Долги + Аукцион",OR(AA57="",AA57&lt;=0)),"Стартовая ставка",""),IF(AND(W57="Долги + Аукцион",AB57=""),"Начало аукциона",""),IF(AND(W57="Долги + Аукцион",AC57=""),"Окончание аукциона",""),IF(AND(W57="Долги + Аукцион",AND(Y57&lt;&gt;"",Z57&lt;&gt;"",Z57&gt;Y57)),"Минимальная цена выше «Продать сейчас»",""),IF(AND(W57="Долги + Аукцион",AND(Y57&lt;&gt;"",Z57&lt;&gt;"",Z57&lt;=Y57,Z57&gt;Y57*0.9)),"Минимальная цена выше 90% от «Продать сейчас»",""),IF(AND(W57="Долги + Аукцион",AND(Y57&lt;&gt;"",AA57&lt;&gt;"",AA57&gt;Y57*0.3)),"Стартовая ставка выше 30% от «Продать сейчас»",""),IF(AND(W57="Долги + Аукцион",AND(AB57&lt;&gt;"",AC57&lt;&gt;"",AC57&lt;EDATE(AB57,3)+15)),"Аукцион короче 3 месяцев и 15 дней",""))))</f>
        <v/>
      </c>
      <c r="AP57" s="35">
        <f>IF(NOT(COUNTA(A57:AN57)&gt;0),"",IF(TEXTJOIN(", ",TRUE,IF(AL57="","Описание",""),IF(AND(AI57&lt;&gt;"",AI57&gt;=1,AI57&lt;5),"Фото меньше 5",""),IF(AK57="","Видео",""),IF(H57="","Кадастровый номер",""),IF(AJ57="","Ссылка на фото",""),IF(OR(AD57="",AD57="Нет"),"Кредитный договор",""),IF(OR(AE57="",AE57="Нет"),"Нотариальная закладная",""),IF(OR(AF57="",AF57="Нет"),"Выписка из реестра",""),IF(OR(AG57="",AG57="Нет"),"Оценка объекта",""),IF(AH57="","Статус в суде",""))="","",TEXTJOIN(", ",TRUE,IF(AL57="","Описание",""),IF(AND(AI57&lt;&gt;"",AI57&gt;=1,AI57&lt;5),"Фото меньше 5",""),IF(AK57="","Видео",""),IF(H57="","Кадастровый номер",""),IF(AJ57="","Ссылка на фото",""),IF(OR(AD57="",AD57="Нет"),"Кредитный договор",""),IF(OR(AE57="",AE57="Нет"),"Нотариальная закладная",""),IF(OR(AF57="",AF57="Нет"),"Выписка из реестра",""),IF(OR(AG57="",AG57="Нет"),"Оценка объекта",""),IF(AH57="","Статус в суде",""))))</f>
        <v/>
      </c>
      <c r="AQ57" s="35">
        <f>IF(NOT(COUNTA(A57:AN57)&gt;0),"",IF(AO57="","Можно публиковать","Не хватает"))</f>
        <v/>
      </c>
    </row>
    <row r="58" ht="22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7" t="n"/>
      <c r="K58" s="37" t="n"/>
      <c r="L58" s="37" t="n"/>
      <c r="M58" s="38" t="n"/>
      <c r="N58" s="38" t="n"/>
      <c r="O58" s="38" t="n"/>
      <c r="P58" s="38" t="n"/>
      <c r="Q58" s="38" t="n"/>
      <c r="R58" s="38" t="n"/>
      <c r="S58" s="36" t="n"/>
      <c r="T58" s="36" t="n"/>
      <c r="U58" s="36" t="n"/>
      <c r="V58" s="36" t="n"/>
      <c r="W58" s="36" t="n"/>
      <c r="X58" s="39" t="n"/>
      <c r="Y58" s="39" t="n"/>
      <c r="Z58" s="39" t="n"/>
      <c r="AA58" s="39" t="n"/>
      <c r="AB58" s="40" t="n"/>
      <c r="AC58" s="40" t="n"/>
      <c r="AD58" s="36" t="n"/>
      <c r="AE58" s="36" t="n"/>
      <c r="AF58" s="36" t="n"/>
      <c r="AG58" s="36" t="n"/>
      <c r="AH58" s="36" t="n"/>
      <c r="AI58" s="38" t="n"/>
      <c r="AJ58" s="36" t="n"/>
      <c r="AK58" s="36" t="n"/>
      <c r="AL58" s="36" t="n"/>
      <c r="AM58" s="36" t="n"/>
      <c r="AN58" s="36" t="n"/>
      <c r="AO58" s="35">
        <f>IF(NOT(COUNTA(A58:AN58)&gt;0),"",IF(TEXTJOIN(", ",TRUE,IF(B58="","Название",""),IF(C58="","Тип недвижимости",""),IF(D58="","Страна",""),IF(E58="","Город",""),IF(F58="","Улица",""),IF(I58="","Валюта",""),IF(OR(AI58="",AI58&lt;1),"Хотя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земли",""),IF(W58="","Формат долга",""),IF(OR(X58="",X58&lt;=0),"Сумма долга",""),IF(AND(W58="Долги + Аукцион",OR(Y58="",Y58&lt;=0)),"Продать сейчас",""),IF(AND(W58="Долги + Аукцион",OR(Z58="",Z58&lt;=0)),"Минимальная цена продажи",""),IF(AND(W58="Долги + Аукцион",OR(AA58="",AA58&lt;=0)),"Стартовая ставка",""),IF(AND(W58="Долги + Аукцион",AB58=""),"Начало аукциона",""),IF(AND(W58="Долги + Аукцион",AC58=""),"Окончание аукциона",""),IF(AND(W58="Долги + Аукцион",AND(Y58&lt;&gt;"",Z58&lt;&gt;"",Z58&gt;Y58)),"Минимальная цена выше «Продать сейчас»",""),IF(AND(W58="Долги + Аукцион",AND(Y58&lt;&gt;"",Z58&lt;&gt;"",Z58&lt;=Y58,Z58&gt;Y58*0.9)),"Минимальная цена выше 90% от «Продать сейчас»",""),IF(AND(W58="Долги + Аукцион",AND(Y58&lt;&gt;"",AA58&lt;&gt;"",AA58&gt;Y58*0.3)),"Стартовая ставка выше 30% от «Продать сейчас»",""),IF(AND(W58="Долги + Аукцион",AND(AB58&lt;&gt;"",AC58&lt;&gt;"",AC58&lt;EDATE(AB58,3)+15)),"Аукцион короче 3 месяцев и 15 дней",""))="","",TEXTJOIN(", ",TRUE,IF(B58="","Название",""),IF(C58="","Тип недвижимости",""),IF(D58="","Страна",""),IF(E58="","Город",""),IF(F58="","Улица",""),IF(I58="","Валюта",""),IF(OR(AI58="",AI58&lt;1),"Хотя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земли",""),IF(W58="","Формат долга",""),IF(OR(X58="",X58&lt;=0),"Сумма долга",""),IF(AND(W58="Долги + Аукцион",OR(Y58="",Y58&lt;=0)),"Продать сейчас",""),IF(AND(W58="Долги + Аукцион",OR(Z58="",Z58&lt;=0)),"Минимальная цена продажи",""),IF(AND(W58="Долги + Аукцион",OR(AA58="",AA58&lt;=0)),"Стартовая ставка",""),IF(AND(W58="Долги + Аукцион",AB58=""),"Начало аукциона",""),IF(AND(W58="Долги + Аукцион",AC58=""),"Окончание аукциона",""),IF(AND(W58="Долги + Аукцион",AND(Y58&lt;&gt;"",Z58&lt;&gt;"",Z58&gt;Y58)),"Минимальная цена выше «Продать сейчас»",""),IF(AND(W58="Долги + Аукцион",AND(Y58&lt;&gt;"",Z58&lt;&gt;"",Z58&lt;=Y58,Z58&gt;Y58*0.9)),"Минимальная цена выше 90% от «Продать сейчас»",""),IF(AND(W58="Долги + Аукцион",AND(Y58&lt;&gt;"",AA58&lt;&gt;"",AA58&gt;Y58*0.3)),"Стартовая ставка выше 30% от «Продать сейчас»",""),IF(AND(W58="Долги + Аукцион",AND(AB58&lt;&gt;"",AC58&lt;&gt;"",AC58&lt;EDATE(AB58,3)+15)),"Аукцион короче 3 месяцев и 15 дней",""))))</f>
        <v/>
      </c>
      <c r="AP58" s="35">
        <f>IF(NOT(COUNTA(A58:AN58)&gt;0),"",IF(TEXTJOIN(", ",TRUE,IF(AL58="","Описание",""),IF(AND(AI58&lt;&gt;"",AI58&gt;=1,AI58&lt;5),"Фото меньше 5",""),IF(AK58="","Видео",""),IF(H58="","Кадастровый номер",""),IF(AJ58="","Ссылка на фото",""),IF(OR(AD58="",AD58="Нет"),"Кредитный договор",""),IF(OR(AE58="",AE58="Нет"),"Нотариальная закладная",""),IF(OR(AF58="",AF58="Нет"),"Выписка из реестра",""),IF(OR(AG58="",AG58="Нет"),"Оценка объекта",""),IF(AH58="","Статус в суде",""))="","",TEXTJOIN(", ",TRUE,IF(AL58="","Описание",""),IF(AND(AI58&lt;&gt;"",AI58&gt;=1,AI58&lt;5),"Фото меньше 5",""),IF(AK58="","Видео",""),IF(H58="","Кадастровый номер",""),IF(AJ58="","Ссылка на фото",""),IF(OR(AD58="",AD58="Нет"),"Кредитный договор",""),IF(OR(AE58="",AE58="Нет"),"Нотариальная закладная",""),IF(OR(AF58="",AF58="Нет"),"Выписка из реестра",""),IF(OR(AG58="",AG58="Нет"),"Оценка объекта",""),IF(AH58="","Статус в суде",""))))</f>
        <v/>
      </c>
      <c r="AQ58" s="35">
        <f>IF(NOT(COUNTA(A58:AN58)&gt;0),"",IF(AO58="","Можно публиковать","Не хватает"))</f>
        <v/>
      </c>
    </row>
    <row r="59" ht="22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  <c r="K59" s="31" t="n"/>
      <c r="L59" s="31" t="n"/>
      <c r="M59" s="32" t="n"/>
      <c r="N59" s="32" t="n"/>
      <c r="O59" s="32" t="n"/>
      <c r="P59" s="32" t="n"/>
      <c r="Q59" s="32" t="n"/>
      <c r="R59" s="32" t="n"/>
      <c r="S59" s="30" t="n"/>
      <c r="T59" s="30" t="n"/>
      <c r="U59" s="30" t="n"/>
      <c r="V59" s="30" t="n"/>
      <c r="W59" s="30" t="n"/>
      <c r="X59" s="33" t="n"/>
      <c r="Y59" s="33" t="n"/>
      <c r="Z59" s="33" t="n"/>
      <c r="AA59" s="33" t="n"/>
      <c r="AB59" s="34" t="n"/>
      <c r="AC59" s="34" t="n"/>
      <c r="AD59" s="30" t="n"/>
      <c r="AE59" s="30" t="n"/>
      <c r="AF59" s="30" t="n"/>
      <c r="AG59" s="30" t="n"/>
      <c r="AH59" s="30" t="n"/>
      <c r="AI59" s="32" t="n"/>
      <c r="AJ59" s="30" t="n"/>
      <c r="AK59" s="30" t="n"/>
      <c r="AL59" s="30" t="n"/>
      <c r="AM59" s="30" t="n"/>
      <c r="AN59" s="30" t="n"/>
      <c r="AO59" s="35">
        <f>IF(NOT(COUNTA(A59:AN59)&gt;0),"",IF(TEXTJOIN(", ",TRUE,IF(B59="","Название",""),IF(C59="","Тип недвижимости",""),IF(D59="","Страна",""),IF(E59="","Город",""),IF(F59="","Улица",""),IF(I59="","Валюта",""),IF(OR(AI59="",AI59&lt;1),"Хотя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земли",""),IF(W59="","Формат долга",""),IF(OR(X59="",X59&lt;=0),"Сумма долга",""),IF(AND(W59="Долги + Аукцион",OR(Y59="",Y59&lt;=0)),"Продать сейчас",""),IF(AND(W59="Долги + Аукцион",OR(Z59="",Z59&lt;=0)),"Минимальная цена продажи",""),IF(AND(W59="Долги + Аукцион",OR(AA59="",AA59&lt;=0)),"Стартовая ставка",""),IF(AND(W59="Долги + Аукцион",AB59=""),"Начало аукциона",""),IF(AND(W59="Долги + Аукцион",AC59=""),"Окончание аукциона",""),IF(AND(W59="Долги + Аукцион",AND(Y59&lt;&gt;"",Z59&lt;&gt;"",Z59&gt;Y59)),"Минимальная цена выше «Продать сейчас»",""),IF(AND(W59="Долги + Аукцион",AND(Y59&lt;&gt;"",Z59&lt;&gt;"",Z59&lt;=Y59,Z59&gt;Y59*0.9)),"Минимальная цена выше 90% от «Продать сейчас»",""),IF(AND(W59="Долги + Аукцион",AND(Y59&lt;&gt;"",AA59&lt;&gt;"",AA59&gt;Y59*0.3)),"Стартовая ставка выше 30% от «Продать сейчас»",""),IF(AND(W59="Долги + Аукцион",AND(AB59&lt;&gt;"",AC59&lt;&gt;"",AC59&lt;EDATE(AB59,3)+15)),"Аукцион короче 3 месяцев и 15 дней",""))="","",TEXTJOIN(", ",TRUE,IF(B59="","Название",""),IF(C59="","Тип недвижимости",""),IF(D59="","Страна",""),IF(E59="","Город",""),IF(F59="","Улица",""),IF(I59="","Валюта",""),IF(OR(AI59="",AI59&lt;1),"Хотя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земли",""),IF(W59="","Формат долга",""),IF(OR(X59="",X59&lt;=0),"Сумма долга",""),IF(AND(W59="Долги + Аукцион",OR(Y59="",Y59&lt;=0)),"Продать сейчас",""),IF(AND(W59="Долги + Аукцион",OR(Z59="",Z59&lt;=0)),"Минимальная цена продажи",""),IF(AND(W59="Долги + Аукцион",OR(AA59="",AA59&lt;=0)),"Стартовая ставка",""),IF(AND(W59="Долги + Аукцион",AB59=""),"Начало аукциона",""),IF(AND(W59="Долги + Аукцион",AC59=""),"Окончание аукциона",""),IF(AND(W59="Долги + Аукцион",AND(Y59&lt;&gt;"",Z59&lt;&gt;"",Z59&gt;Y59)),"Минимальная цена выше «Продать сейчас»",""),IF(AND(W59="Долги + Аукцион",AND(Y59&lt;&gt;"",Z59&lt;&gt;"",Z59&lt;=Y59,Z59&gt;Y59*0.9)),"Минимальная цена выше 90% от «Продать сейчас»",""),IF(AND(W59="Долги + Аукцион",AND(Y59&lt;&gt;"",AA59&lt;&gt;"",AA59&gt;Y59*0.3)),"Стартовая ставка выше 30% от «Продать сейчас»",""),IF(AND(W59="Долги + Аукцион",AND(AB59&lt;&gt;"",AC59&lt;&gt;"",AC59&lt;EDATE(AB59,3)+15)),"Аукцион короче 3 месяцев и 15 дней",""))))</f>
        <v/>
      </c>
      <c r="AP59" s="35">
        <f>IF(NOT(COUNTA(A59:AN59)&gt;0),"",IF(TEXTJOIN(", ",TRUE,IF(AL59="","Описание",""),IF(AND(AI59&lt;&gt;"",AI59&gt;=1,AI59&lt;5),"Фото меньше 5",""),IF(AK59="","Видео",""),IF(H59="","Кадастровый номер",""),IF(AJ59="","Ссылка на фото",""),IF(OR(AD59="",AD59="Нет"),"Кредитный договор",""),IF(OR(AE59="",AE59="Нет"),"Нотариальная закладная",""),IF(OR(AF59="",AF59="Нет"),"Выписка из реестра",""),IF(OR(AG59="",AG59="Нет"),"Оценка объекта",""),IF(AH59="","Статус в суде",""))="","",TEXTJOIN(", ",TRUE,IF(AL59="","Описание",""),IF(AND(AI59&lt;&gt;"",AI59&gt;=1,AI59&lt;5),"Фото меньше 5",""),IF(AK59="","Видео",""),IF(H59="","Кадастровый номер",""),IF(AJ59="","Ссылка на фото",""),IF(OR(AD59="",AD59="Нет"),"Кредитный договор",""),IF(OR(AE59="",AE59="Нет"),"Нотариальная закладная",""),IF(OR(AF59="",AF59="Нет"),"Выписка из реестра",""),IF(OR(AG59="",AG59="Нет"),"Оценка объекта",""),IF(AH59="","Статус в суде",""))))</f>
        <v/>
      </c>
      <c r="AQ59" s="35">
        <f>IF(NOT(COUNTA(A59:AN59)&gt;0),"",IF(AO59="","Можно публиковать","Не хватает"))</f>
        <v/>
      </c>
    </row>
    <row r="60" ht="22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7" t="n"/>
      <c r="K60" s="37" t="n"/>
      <c r="L60" s="37" t="n"/>
      <c r="M60" s="38" t="n"/>
      <c r="N60" s="38" t="n"/>
      <c r="O60" s="38" t="n"/>
      <c r="P60" s="38" t="n"/>
      <c r="Q60" s="38" t="n"/>
      <c r="R60" s="38" t="n"/>
      <c r="S60" s="36" t="n"/>
      <c r="T60" s="36" t="n"/>
      <c r="U60" s="36" t="n"/>
      <c r="V60" s="36" t="n"/>
      <c r="W60" s="36" t="n"/>
      <c r="X60" s="39" t="n"/>
      <c r="Y60" s="39" t="n"/>
      <c r="Z60" s="39" t="n"/>
      <c r="AA60" s="39" t="n"/>
      <c r="AB60" s="40" t="n"/>
      <c r="AC60" s="40" t="n"/>
      <c r="AD60" s="36" t="n"/>
      <c r="AE60" s="36" t="n"/>
      <c r="AF60" s="36" t="n"/>
      <c r="AG60" s="36" t="n"/>
      <c r="AH60" s="36" t="n"/>
      <c r="AI60" s="38" t="n"/>
      <c r="AJ60" s="36" t="n"/>
      <c r="AK60" s="36" t="n"/>
      <c r="AL60" s="36" t="n"/>
      <c r="AM60" s="36" t="n"/>
      <c r="AN60" s="36" t="n"/>
      <c r="AO60" s="35">
        <f>IF(NOT(COUNTA(A60:AN60)&gt;0),"",IF(TEXTJOIN(", ",TRUE,IF(B60="","Название",""),IF(C60="","Тип недвижимости",""),IF(D60="","Страна",""),IF(E60="","Город",""),IF(F60="","Улица",""),IF(I60="","Валюта",""),IF(OR(AI60="",AI60&lt;1),"Хотя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земли",""),IF(W60="","Формат долга",""),IF(OR(X60="",X60&lt;=0),"Сумма долга",""),IF(AND(W60="Долги + Аукцион",OR(Y60="",Y60&lt;=0)),"Продать сейчас",""),IF(AND(W60="Долги + Аукцион",OR(Z60="",Z60&lt;=0)),"Минимальная цена продажи",""),IF(AND(W60="Долги + Аукцион",OR(AA60="",AA60&lt;=0)),"Стартовая ставка",""),IF(AND(W60="Долги + Аукцион",AB60=""),"Начало аукциона",""),IF(AND(W60="Долги + Аукцион",AC60=""),"Окончание аукциона",""),IF(AND(W60="Долги + Аукцион",AND(Y60&lt;&gt;"",Z60&lt;&gt;"",Z60&gt;Y60)),"Минимальная цена выше «Продать сейчас»",""),IF(AND(W60="Долги + Аукцион",AND(Y60&lt;&gt;"",Z60&lt;&gt;"",Z60&lt;=Y60,Z60&gt;Y60*0.9)),"Минимальная цена выше 90% от «Продать сейчас»",""),IF(AND(W60="Долги + Аукцион",AND(Y60&lt;&gt;"",AA60&lt;&gt;"",AA60&gt;Y60*0.3)),"Стартовая ставка выше 30% от «Продать сейчас»",""),IF(AND(W60="Долги + Аукцион",AND(AB60&lt;&gt;"",AC60&lt;&gt;"",AC60&lt;EDATE(AB60,3)+15)),"Аукцион короче 3 месяцев и 15 дней",""))="","",TEXTJOIN(", ",TRUE,IF(B60="","Название",""),IF(C60="","Тип недвижимости",""),IF(D60="","Страна",""),IF(E60="","Город",""),IF(F60="","Улица",""),IF(I60="","Валюта",""),IF(OR(AI60="",AI60&lt;1),"Хотя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земли",""),IF(W60="","Формат долга",""),IF(OR(X60="",X60&lt;=0),"Сумма долга",""),IF(AND(W60="Долги + Аукцион",OR(Y60="",Y60&lt;=0)),"Продать сейчас",""),IF(AND(W60="Долги + Аукцион",OR(Z60="",Z60&lt;=0)),"Минимальная цена продажи",""),IF(AND(W60="Долги + Аукцион",OR(AA60="",AA60&lt;=0)),"Стартовая ставка",""),IF(AND(W60="Долги + Аукцион",AB60=""),"Начало аукциона",""),IF(AND(W60="Долги + Аукцион",AC60=""),"Окончание аукциона",""),IF(AND(W60="Долги + Аукцион",AND(Y60&lt;&gt;"",Z60&lt;&gt;"",Z60&gt;Y60)),"Минимальная цена выше «Продать сейчас»",""),IF(AND(W60="Долги + Аукцион",AND(Y60&lt;&gt;"",Z60&lt;&gt;"",Z60&lt;=Y60,Z60&gt;Y60*0.9)),"Минимальная цена выше 90% от «Продать сейчас»",""),IF(AND(W60="Долги + Аукцион",AND(Y60&lt;&gt;"",AA60&lt;&gt;"",AA60&gt;Y60*0.3)),"Стартовая ставка выше 30% от «Продать сейчас»",""),IF(AND(W60="Долги + Аукцион",AND(AB60&lt;&gt;"",AC60&lt;&gt;"",AC60&lt;EDATE(AB60,3)+15)),"Аукцион короче 3 месяцев и 15 дней",""))))</f>
        <v/>
      </c>
      <c r="AP60" s="35">
        <f>IF(NOT(COUNTA(A60:AN60)&gt;0),"",IF(TEXTJOIN(", ",TRUE,IF(AL60="","Описание",""),IF(AND(AI60&lt;&gt;"",AI60&gt;=1,AI60&lt;5),"Фото меньше 5",""),IF(AK60="","Видео",""),IF(H60="","Кадастровый номер",""),IF(AJ60="","Ссылка на фото",""),IF(OR(AD60="",AD60="Нет"),"Кредитный договор",""),IF(OR(AE60="",AE60="Нет"),"Нотариальная закладная",""),IF(OR(AF60="",AF60="Нет"),"Выписка из реестра",""),IF(OR(AG60="",AG60="Нет"),"Оценка объекта",""),IF(AH60="","Статус в суде",""))="","",TEXTJOIN(", ",TRUE,IF(AL60="","Описание",""),IF(AND(AI60&lt;&gt;"",AI60&gt;=1,AI60&lt;5),"Фото меньше 5",""),IF(AK60="","Видео",""),IF(H60="","Кадастровый номер",""),IF(AJ60="","Ссылка на фото",""),IF(OR(AD60="",AD60="Нет"),"Кредитный договор",""),IF(OR(AE60="",AE60="Нет"),"Нотариальная закладная",""),IF(OR(AF60="",AF60="Нет"),"Выписка из реестра",""),IF(OR(AG60="",AG60="Нет"),"Оценка объекта",""),IF(AH60="","Статус в суде",""))))</f>
        <v/>
      </c>
      <c r="AQ60" s="35">
        <f>IF(NOT(COUNTA(A60:AN60)&gt;0),"",IF(AO60="","Можно публиковать","Не хватает"))</f>
        <v/>
      </c>
    </row>
    <row r="61" ht="22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 t="n"/>
      <c r="K61" s="31" t="n"/>
      <c r="L61" s="31" t="n"/>
      <c r="M61" s="32" t="n"/>
      <c r="N61" s="32" t="n"/>
      <c r="O61" s="32" t="n"/>
      <c r="P61" s="32" t="n"/>
      <c r="Q61" s="32" t="n"/>
      <c r="R61" s="32" t="n"/>
      <c r="S61" s="30" t="n"/>
      <c r="T61" s="30" t="n"/>
      <c r="U61" s="30" t="n"/>
      <c r="V61" s="30" t="n"/>
      <c r="W61" s="30" t="n"/>
      <c r="X61" s="33" t="n"/>
      <c r="Y61" s="33" t="n"/>
      <c r="Z61" s="33" t="n"/>
      <c r="AA61" s="33" t="n"/>
      <c r="AB61" s="34" t="n"/>
      <c r="AC61" s="34" t="n"/>
      <c r="AD61" s="30" t="n"/>
      <c r="AE61" s="30" t="n"/>
      <c r="AF61" s="30" t="n"/>
      <c r="AG61" s="30" t="n"/>
      <c r="AH61" s="30" t="n"/>
      <c r="AI61" s="32" t="n"/>
      <c r="AJ61" s="30" t="n"/>
      <c r="AK61" s="30" t="n"/>
      <c r="AL61" s="30" t="n"/>
      <c r="AM61" s="30" t="n"/>
      <c r="AN61" s="30" t="n"/>
      <c r="AO61" s="35">
        <f>IF(NOT(COUNTA(A61:AN61)&gt;0),"",IF(TEXTJOIN(", ",TRUE,IF(B61="","Название",""),IF(C61="","Тип недвижимости",""),IF(D61="","Страна",""),IF(E61="","Город",""),IF(F61="","Улица",""),IF(I61="","Валюта",""),IF(OR(AI61="",AI61&lt;1),"Хотя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земли",""),IF(W61="","Формат долга",""),IF(OR(X61="",X61&lt;=0),"Сумма долга",""),IF(AND(W61="Долги + Аукцион",OR(Y61="",Y61&lt;=0)),"Продать сейчас",""),IF(AND(W61="Долги + Аукцион",OR(Z61="",Z61&lt;=0)),"Минимальная цена продажи",""),IF(AND(W61="Долги + Аукцион",OR(AA61="",AA61&lt;=0)),"Стартовая ставка",""),IF(AND(W61="Долги + Аукцион",AB61=""),"Начало аукциона",""),IF(AND(W61="Долги + Аукцион",AC61=""),"Окончание аукциона",""),IF(AND(W61="Долги + Аукцион",AND(Y61&lt;&gt;"",Z61&lt;&gt;"",Z61&gt;Y61)),"Минимальная цена выше «Продать сейчас»",""),IF(AND(W61="Долги + Аукцион",AND(Y61&lt;&gt;"",Z61&lt;&gt;"",Z61&lt;=Y61,Z61&gt;Y61*0.9)),"Минимальная цена выше 90% от «Продать сейчас»",""),IF(AND(W61="Долги + Аукцион",AND(Y61&lt;&gt;"",AA61&lt;&gt;"",AA61&gt;Y61*0.3)),"Стартовая ставка выше 30% от «Продать сейчас»",""),IF(AND(W61="Долги + Аукцион",AND(AB61&lt;&gt;"",AC61&lt;&gt;"",AC61&lt;EDATE(AB61,3)+15)),"Аукцион короче 3 месяцев и 15 дней",""))="","",TEXTJOIN(", ",TRUE,IF(B61="","Название",""),IF(C61="","Тип недвижимости",""),IF(D61="","Страна",""),IF(E61="","Город",""),IF(F61="","Улица",""),IF(I61="","Валюта",""),IF(OR(AI61="",AI61&lt;1),"Хотя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земли",""),IF(W61="","Формат долга",""),IF(OR(X61="",X61&lt;=0),"Сумма долга",""),IF(AND(W61="Долги + Аукцион",OR(Y61="",Y61&lt;=0)),"Продать сейчас",""),IF(AND(W61="Долги + Аукцион",OR(Z61="",Z61&lt;=0)),"Минимальная цена продажи",""),IF(AND(W61="Долги + Аукцион",OR(AA61="",AA61&lt;=0)),"Стартовая ставка",""),IF(AND(W61="Долги + Аукцион",AB61=""),"Начало аукциона",""),IF(AND(W61="Долги + Аукцион",AC61=""),"Окончание аукциона",""),IF(AND(W61="Долги + Аукцион",AND(Y61&lt;&gt;"",Z61&lt;&gt;"",Z61&gt;Y61)),"Минимальная цена выше «Продать сейчас»",""),IF(AND(W61="Долги + Аукцион",AND(Y61&lt;&gt;"",Z61&lt;&gt;"",Z61&lt;=Y61,Z61&gt;Y61*0.9)),"Минимальная цена выше 90% от «Продать сейчас»",""),IF(AND(W61="Долги + Аукцион",AND(Y61&lt;&gt;"",AA61&lt;&gt;"",AA61&gt;Y61*0.3)),"Стартовая ставка выше 30% от «Продать сейчас»",""),IF(AND(W61="Долги + Аукцион",AND(AB61&lt;&gt;"",AC61&lt;&gt;"",AC61&lt;EDATE(AB61,3)+15)),"Аукцион короче 3 месяцев и 15 дней",""))))</f>
        <v/>
      </c>
      <c r="AP61" s="35">
        <f>IF(NOT(COUNTA(A61:AN61)&gt;0),"",IF(TEXTJOIN(", ",TRUE,IF(AL61="","Описание",""),IF(AND(AI61&lt;&gt;"",AI61&gt;=1,AI61&lt;5),"Фото меньше 5",""),IF(AK61="","Видео",""),IF(H61="","Кадастровый номер",""),IF(AJ61="","Ссылка на фото",""),IF(OR(AD61="",AD61="Нет"),"Кредитный договор",""),IF(OR(AE61="",AE61="Нет"),"Нотариальная закладная",""),IF(OR(AF61="",AF61="Нет"),"Выписка из реестра",""),IF(OR(AG61="",AG61="Нет"),"Оценка объекта",""),IF(AH61="","Статус в суде",""))="","",TEXTJOIN(", ",TRUE,IF(AL61="","Описание",""),IF(AND(AI61&lt;&gt;"",AI61&gt;=1,AI61&lt;5),"Фото меньше 5",""),IF(AK61="","Видео",""),IF(H61="","Кадастровый номер",""),IF(AJ61="","Ссылка на фото",""),IF(OR(AD61="",AD61="Нет"),"Кредитный договор",""),IF(OR(AE61="",AE61="Нет"),"Нотариальная закладная",""),IF(OR(AF61="",AF61="Нет"),"Выписка из реестра",""),IF(OR(AG61="",AG61="Нет"),"Оценка объекта",""),IF(AH61="","Статус в суде",""))))</f>
        <v/>
      </c>
      <c r="AQ61" s="35">
        <f>IF(NOT(COUNTA(A61:AN61)&gt;0),"",IF(AO61="","Можно публиковать","Не хватает"))</f>
        <v/>
      </c>
    </row>
    <row r="62" ht="22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7" t="n"/>
      <c r="K62" s="37" t="n"/>
      <c r="L62" s="37" t="n"/>
      <c r="M62" s="38" t="n"/>
      <c r="N62" s="38" t="n"/>
      <c r="O62" s="38" t="n"/>
      <c r="P62" s="38" t="n"/>
      <c r="Q62" s="38" t="n"/>
      <c r="R62" s="38" t="n"/>
      <c r="S62" s="36" t="n"/>
      <c r="T62" s="36" t="n"/>
      <c r="U62" s="36" t="n"/>
      <c r="V62" s="36" t="n"/>
      <c r="W62" s="36" t="n"/>
      <c r="X62" s="39" t="n"/>
      <c r="Y62" s="39" t="n"/>
      <c r="Z62" s="39" t="n"/>
      <c r="AA62" s="39" t="n"/>
      <c r="AB62" s="40" t="n"/>
      <c r="AC62" s="40" t="n"/>
      <c r="AD62" s="36" t="n"/>
      <c r="AE62" s="36" t="n"/>
      <c r="AF62" s="36" t="n"/>
      <c r="AG62" s="36" t="n"/>
      <c r="AH62" s="36" t="n"/>
      <c r="AI62" s="38" t="n"/>
      <c r="AJ62" s="36" t="n"/>
      <c r="AK62" s="36" t="n"/>
      <c r="AL62" s="36" t="n"/>
      <c r="AM62" s="36" t="n"/>
      <c r="AN62" s="36" t="n"/>
      <c r="AO62" s="35">
        <f>IF(NOT(COUNTA(A62:AN62)&gt;0),"",IF(TEXTJOIN(", ",TRUE,IF(B62="","Название",""),IF(C62="","Тип недвижимости",""),IF(D62="","Страна",""),IF(E62="","Город",""),IF(F62="","Улица",""),IF(I62="","Валюта",""),IF(OR(AI62="",AI62&lt;1),"Хотя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земли",""),IF(W62="","Формат долга",""),IF(OR(X62="",X62&lt;=0),"Сумма долга",""),IF(AND(W62="Долги + Аукцион",OR(Y62="",Y62&lt;=0)),"Продать сейчас",""),IF(AND(W62="Долги + Аукцион",OR(Z62="",Z62&lt;=0)),"Минимальная цена продажи",""),IF(AND(W62="Долги + Аукцион",OR(AA62="",AA62&lt;=0)),"Стартовая ставка",""),IF(AND(W62="Долги + Аукцион",AB62=""),"Начало аукциона",""),IF(AND(W62="Долги + Аукцион",AC62=""),"Окончание аукциона",""),IF(AND(W62="Долги + Аукцион",AND(Y62&lt;&gt;"",Z62&lt;&gt;"",Z62&gt;Y62)),"Минимальная цена выше «Продать сейчас»",""),IF(AND(W62="Долги + Аукцион",AND(Y62&lt;&gt;"",Z62&lt;&gt;"",Z62&lt;=Y62,Z62&gt;Y62*0.9)),"Минимальная цена выше 90% от «Продать сейчас»",""),IF(AND(W62="Долги + Аукцион",AND(Y62&lt;&gt;"",AA62&lt;&gt;"",AA62&gt;Y62*0.3)),"Стартовая ставка выше 30% от «Продать сейчас»",""),IF(AND(W62="Долги + Аукцион",AND(AB62&lt;&gt;"",AC62&lt;&gt;"",AC62&lt;EDATE(AB62,3)+15)),"Аукцион короче 3 месяцев и 15 дней",""))="","",TEXTJOIN(", ",TRUE,IF(B62="","Название",""),IF(C62="","Тип недвижимости",""),IF(D62="","Страна",""),IF(E62="","Город",""),IF(F62="","Улица",""),IF(I62="","Валюта",""),IF(OR(AI62="",AI62&lt;1),"Хотя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земли",""),IF(W62="","Формат долга",""),IF(OR(X62="",X62&lt;=0),"Сумма долга",""),IF(AND(W62="Долги + Аукцион",OR(Y62="",Y62&lt;=0)),"Продать сейчас",""),IF(AND(W62="Долги + Аукцион",OR(Z62="",Z62&lt;=0)),"Минимальная цена продажи",""),IF(AND(W62="Долги + Аукцион",OR(AA62="",AA62&lt;=0)),"Стартовая ставка",""),IF(AND(W62="Долги + Аукцион",AB62=""),"Начало аукциона",""),IF(AND(W62="Долги + Аукцион",AC62=""),"Окончание аукциона",""),IF(AND(W62="Долги + Аукцион",AND(Y62&lt;&gt;"",Z62&lt;&gt;"",Z62&gt;Y62)),"Минимальная цена выше «Продать сейчас»",""),IF(AND(W62="Долги + Аукцион",AND(Y62&lt;&gt;"",Z62&lt;&gt;"",Z62&lt;=Y62,Z62&gt;Y62*0.9)),"Минимальная цена выше 90% от «Продать сейчас»",""),IF(AND(W62="Долги + Аукцион",AND(Y62&lt;&gt;"",AA62&lt;&gt;"",AA62&gt;Y62*0.3)),"Стартовая ставка выше 30% от «Продать сейчас»",""),IF(AND(W62="Долги + Аукцион",AND(AB62&lt;&gt;"",AC62&lt;&gt;"",AC62&lt;EDATE(AB62,3)+15)),"Аукцион короче 3 месяцев и 15 дней",""))))</f>
        <v/>
      </c>
      <c r="AP62" s="35">
        <f>IF(NOT(COUNTA(A62:AN62)&gt;0),"",IF(TEXTJOIN(", ",TRUE,IF(AL62="","Описание",""),IF(AND(AI62&lt;&gt;"",AI62&gt;=1,AI62&lt;5),"Фото меньше 5",""),IF(AK62="","Видео",""),IF(H62="","Кадастровый номер",""),IF(AJ62="","Ссылка на фото",""),IF(OR(AD62="",AD62="Нет"),"Кредитный договор",""),IF(OR(AE62="",AE62="Нет"),"Нотариальная закладная",""),IF(OR(AF62="",AF62="Нет"),"Выписка из реестра",""),IF(OR(AG62="",AG62="Нет"),"Оценка объекта",""),IF(AH62="","Статус в суде",""))="","",TEXTJOIN(", ",TRUE,IF(AL62="","Описание",""),IF(AND(AI62&lt;&gt;"",AI62&gt;=1,AI62&lt;5),"Фото меньше 5",""),IF(AK62="","Видео",""),IF(H62="","Кадастровый номер",""),IF(AJ62="","Ссылка на фото",""),IF(OR(AD62="",AD62="Нет"),"Кредитный договор",""),IF(OR(AE62="",AE62="Нет"),"Нотариальная закладная",""),IF(OR(AF62="",AF62="Нет"),"Выписка из реестра",""),IF(OR(AG62="",AG62="Нет"),"Оценка объекта",""),IF(AH62="","Статус в суде",""))))</f>
        <v/>
      </c>
      <c r="AQ62" s="35">
        <f>IF(NOT(COUNTA(A62:AN62)&gt;0),"",IF(AO62="","Можно публиковать","Не хватает"))</f>
        <v/>
      </c>
    </row>
    <row r="63" ht="22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  <c r="K63" s="31" t="n"/>
      <c r="L63" s="31" t="n"/>
      <c r="M63" s="32" t="n"/>
      <c r="N63" s="32" t="n"/>
      <c r="O63" s="32" t="n"/>
      <c r="P63" s="32" t="n"/>
      <c r="Q63" s="32" t="n"/>
      <c r="R63" s="32" t="n"/>
      <c r="S63" s="30" t="n"/>
      <c r="T63" s="30" t="n"/>
      <c r="U63" s="30" t="n"/>
      <c r="V63" s="30" t="n"/>
      <c r="W63" s="30" t="n"/>
      <c r="X63" s="33" t="n"/>
      <c r="Y63" s="33" t="n"/>
      <c r="Z63" s="33" t="n"/>
      <c r="AA63" s="33" t="n"/>
      <c r="AB63" s="34" t="n"/>
      <c r="AC63" s="34" t="n"/>
      <c r="AD63" s="30" t="n"/>
      <c r="AE63" s="30" t="n"/>
      <c r="AF63" s="30" t="n"/>
      <c r="AG63" s="30" t="n"/>
      <c r="AH63" s="30" t="n"/>
      <c r="AI63" s="32" t="n"/>
      <c r="AJ63" s="30" t="n"/>
      <c r="AK63" s="30" t="n"/>
      <c r="AL63" s="30" t="n"/>
      <c r="AM63" s="30" t="n"/>
      <c r="AN63" s="30" t="n"/>
      <c r="AO63" s="35">
        <f>IF(NOT(COUNTA(A63:AN63)&gt;0),"",IF(TEXTJOIN(", ",TRUE,IF(B63="","Название",""),IF(C63="","Тип недвижимости",""),IF(D63="","Страна",""),IF(E63="","Город",""),IF(F63="","Улица",""),IF(I63="","Валюта",""),IF(OR(AI63="",AI63&lt;1),"Хотя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земли",""),IF(W63="","Формат долга",""),IF(OR(X63="",X63&lt;=0),"Сумма долга",""),IF(AND(W63="Долги + Аукцион",OR(Y63="",Y63&lt;=0)),"Продать сейчас",""),IF(AND(W63="Долги + Аукцион",OR(Z63="",Z63&lt;=0)),"Минимальная цена продажи",""),IF(AND(W63="Долги + Аукцион",OR(AA63="",AA63&lt;=0)),"Стартовая ставка",""),IF(AND(W63="Долги + Аукцион",AB63=""),"Начало аукциона",""),IF(AND(W63="Долги + Аукцион",AC63=""),"Окончание аукциона",""),IF(AND(W63="Долги + Аукцион",AND(Y63&lt;&gt;"",Z63&lt;&gt;"",Z63&gt;Y63)),"Минимальная цена выше «Продать сейчас»",""),IF(AND(W63="Долги + Аукцион",AND(Y63&lt;&gt;"",Z63&lt;&gt;"",Z63&lt;=Y63,Z63&gt;Y63*0.9)),"Минимальная цена выше 90% от «Продать сейчас»",""),IF(AND(W63="Долги + Аукцион",AND(Y63&lt;&gt;"",AA63&lt;&gt;"",AA63&gt;Y63*0.3)),"Стартовая ставка выше 30% от «Продать сейчас»",""),IF(AND(W63="Долги + Аукцион",AND(AB63&lt;&gt;"",AC63&lt;&gt;"",AC63&lt;EDATE(AB63,3)+15)),"Аукцион короче 3 месяцев и 15 дней",""))="","",TEXTJOIN(", ",TRUE,IF(B63="","Название",""),IF(C63="","Тип недвижимости",""),IF(D63="","Страна",""),IF(E63="","Город",""),IF(F63="","Улица",""),IF(I63="","Валюта",""),IF(OR(AI63="",AI63&lt;1),"Хотя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земли",""),IF(W63="","Формат долга",""),IF(OR(X63="",X63&lt;=0),"Сумма долга",""),IF(AND(W63="Долги + Аукцион",OR(Y63="",Y63&lt;=0)),"Продать сейчас",""),IF(AND(W63="Долги + Аукцион",OR(Z63="",Z63&lt;=0)),"Минимальная цена продажи",""),IF(AND(W63="Долги + Аукцион",OR(AA63="",AA63&lt;=0)),"Стартовая ставка",""),IF(AND(W63="Долги + Аукцион",AB63=""),"Начало аукциона",""),IF(AND(W63="Долги + Аукцион",AC63=""),"Окончание аукциона",""),IF(AND(W63="Долги + Аукцион",AND(Y63&lt;&gt;"",Z63&lt;&gt;"",Z63&gt;Y63)),"Минимальная цена выше «Продать сейчас»",""),IF(AND(W63="Долги + Аукцион",AND(Y63&lt;&gt;"",Z63&lt;&gt;"",Z63&lt;=Y63,Z63&gt;Y63*0.9)),"Минимальная цена выше 90% от «Продать сейчас»",""),IF(AND(W63="Долги + Аукцион",AND(Y63&lt;&gt;"",AA63&lt;&gt;"",AA63&gt;Y63*0.3)),"Стартовая ставка выше 30% от «Продать сейчас»",""),IF(AND(W63="Долги + Аукцион",AND(AB63&lt;&gt;"",AC63&lt;&gt;"",AC63&lt;EDATE(AB63,3)+15)),"Аукцион короче 3 месяцев и 15 дней",""))))</f>
        <v/>
      </c>
      <c r="AP63" s="35">
        <f>IF(NOT(COUNTA(A63:AN63)&gt;0),"",IF(TEXTJOIN(", ",TRUE,IF(AL63="","Описание",""),IF(AND(AI63&lt;&gt;"",AI63&gt;=1,AI63&lt;5),"Фото меньше 5",""),IF(AK63="","Видео",""),IF(H63="","Кадастровый номер",""),IF(AJ63="","Ссылка на фото",""),IF(OR(AD63="",AD63="Нет"),"Кредитный договор",""),IF(OR(AE63="",AE63="Нет"),"Нотариальная закладная",""),IF(OR(AF63="",AF63="Нет"),"Выписка из реестра",""),IF(OR(AG63="",AG63="Нет"),"Оценка объекта",""),IF(AH63="","Статус в суде",""))="","",TEXTJOIN(", ",TRUE,IF(AL63="","Описание",""),IF(AND(AI63&lt;&gt;"",AI63&gt;=1,AI63&lt;5),"Фото меньше 5",""),IF(AK63="","Видео",""),IF(H63="","Кадастровый номер",""),IF(AJ63="","Ссылка на фото",""),IF(OR(AD63="",AD63="Нет"),"Кредитный договор",""),IF(OR(AE63="",AE63="Нет"),"Нотариальная закладная",""),IF(OR(AF63="",AF63="Нет"),"Выписка из реестра",""),IF(OR(AG63="",AG63="Нет"),"Оценка объекта",""),IF(AH63="","Статус в суде",""))))</f>
        <v/>
      </c>
      <c r="AQ63" s="35">
        <f>IF(NOT(COUNTA(A63:AN63)&gt;0),"",IF(AO63="","Можно публиковать","Не хватает"))</f>
        <v/>
      </c>
    </row>
    <row r="64" ht="22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7" t="n"/>
      <c r="K64" s="37" t="n"/>
      <c r="L64" s="37" t="n"/>
      <c r="M64" s="38" t="n"/>
      <c r="N64" s="38" t="n"/>
      <c r="O64" s="38" t="n"/>
      <c r="P64" s="38" t="n"/>
      <c r="Q64" s="38" t="n"/>
      <c r="R64" s="38" t="n"/>
      <c r="S64" s="36" t="n"/>
      <c r="T64" s="36" t="n"/>
      <c r="U64" s="36" t="n"/>
      <c r="V64" s="36" t="n"/>
      <c r="W64" s="36" t="n"/>
      <c r="X64" s="39" t="n"/>
      <c r="Y64" s="39" t="n"/>
      <c r="Z64" s="39" t="n"/>
      <c r="AA64" s="39" t="n"/>
      <c r="AB64" s="40" t="n"/>
      <c r="AC64" s="40" t="n"/>
      <c r="AD64" s="36" t="n"/>
      <c r="AE64" s="36" t="n"/>
      <c r="AF64" s="36" t="n"/>
      <c r="AG64" s="36" t="n"/>
      <c r="AH64" s="36" t="n"/>
      <c r="AI64" s="38" t="n"/>
      <c r="AJ64" s="36" t="n"/>
      <c r="AK64" s="36" t="n"/>
      <c r="AL64" s="36" t="n"/>
      <c r="AM64" s="36" t="n"/>
      <c r="AN64" s="36" t="n"/>
      <c r="AO64" s="35">
        <f>IF(NOT(COUNTA(A64:AN64)&gt;0),"",IF(TEXTJOIN(", ",TRUE,IF(B64="","Название",""),IF(C64="","Тип недвижимости",""),IF(D64="","Страна",""),IF(E64="","Город",""),IF(F64="","Улица",""),IF(I64="","Валюта",""),IF(OR(AI64="",AI64&lt;1),"Хотя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земли",""),IF(W64="","Формат долга",""),IF(OR(X64="",X64&lt;=0),"Сумма долга",""),IF(AND(W64="Долги + Аукцион",OR(Y64="",Y64&lt;=0)),"Продать сейчас",""),IF(AND(W64="Долги + Аукцион",OR(Z64="",Z64&lt;=0)),"Минимальная цена продажи",""),IF(AND(W64="Долги + Аукцион",OR(AA64="",AA64&lt;=0)),"Стартовая ставка",""),IF(AND(W64="Долги + Аукцион",AB64=""),"Начало аукциона",""),IF(AND(W64="Долги + Аукцион",AC64=""),"Окончание аукциона",""),IF(AND(W64="Долги + Аукцион",AND(Y64&lt;&gt;"",Z64&lt;&gt;"",Z64&gt;Y64)),"Минимальная цена выше «Продать сейчас»",""),IF(AND(W64="Долги + Аукцион",AND(Y64&lt;&gt;"",Z64&lt;&gt;"",Z64&lt;=Y64,Z64&gt;Y64*0.9)),"Минимальная цена выше 90% от «Продать сейчас»",""),IF(AND(W64="Долги + Аукцион",AND(Y64&lt;&gt;"",AA64&lt;&gt;"",AA64&gt;Y64*0.3)),"Стартовая ставка выше 30% от «Продать сейчас»",""),IF(AND(W64="Долги + Аукцион",AND(AB64&lt;&gt;"",AC64&lt;&gt;"",AC64&lt;EDATE(AB64,3)+15)),"Аукцион короче 3 месяцев и 15 дней",""))="","",TEXTJOIN(", ",TRUE,IF(B64="","Название",""),IF(C64="","Тип недвижимости",""),IF(D64="","Страна",""),IF(E64="","Город",""),IF(F64="","Улица",""),IF(I64="","Валюта",""),IF(OR(AI64="",AI64&lt;1),"Хотя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земли",""),IF(W64="","Формат долга",""),IF(OR(X64="",X64&lt;=0),"Сумма долга",""),IF(AND(W64="Долги + Аукцион",OR(Y64="",Y64&lt;=0)),"Продать сейчас",""),IF(AND(W64="Долги + Аукцион",OR(Z64="",Z64&lt;=0)),"Минимальная цена продажи",""),IF(AND(W64="Долги + Аукцион",OR(AA64="",AA64&lt;=0)),"Стартовая ставка",""),IF(AND(W64="Долги + Аукцион",AB64=""),"Начало аукциона",""),IF(AND(W64="Долги + Аукцион",AC64=""),"Окончание аукциона",""),IF(AND(W64="Долги + Аукцион",AND(Y64&lt;&gt;"",Z64&lt;&gt;"",Z64&gt;Y64)),"Минимальная цена выше «Продать сейчас»",""),IF(AND(W64="Долги + Аукцион",AND(Y64&lt;&gt;"",Z64&lt;&gt;"",Z64&lt;=Y64,Z64&gt;Y64*0.9)),"Минимальная цена выше 90% от «Продать сейчас»",""),IF(AND(W64="Долги + Аукцион",AND(Y64&lt;&gt;"",AA64&lt;&gt;"",AA64&gt;Y64*0.3)),"Стартовая ставка выше 30% от «Продать сейчас»",""),IF(AND(W64="Долги + Аукцион",AND(AB64&lt;&gt;"",AC64&lt;&gt;"",AC64&lt;EDATE(AB64,3)+15)),"Аукцион короче 3 месяцев и 15 дней",""))))</f>
        <v/>
      </c>
      <c r="AP64" s="35">
        <f>IF(NOT(COUNTA(A64:AN64)&gt;0),"",IF(TEXTJOIN(", ",TRUE,IF(AL64="","Описание",""),IF(AND(AI64&lt;&gt;"",AI64&gt;=1,AI64&lt;5),"Фото меньше 5",""),IF(AK64="","Видео",""),IF(H64="","Кадастровый номер",""),IF(AJ64="","Ссылка на фото",""),IF(OR(AD64="",AD64="Нет"),"Кредитный договор",""),IF(OR(AE64="",AE64="Нет"),"Нотариальная закладная",""),IF(OR(AF64="",AF64="Нет"),"Выписка из реестра",""),IF(OR(AG64="",AG64="Нет"),"Оценка объекта",""),IF(AH64="","Статус в суде",""))="","",TEXTJOIN(", ",TRUE,IF(AL64="","Описание",""),IF(AND(AI64&lt;&gt;"",AI64&gt;=1,AI64&lt;5),"Фото меньше 5",""),IF(AK64="","Видео",""),IF(H64="","Кадастровый номер",""),IF(AJ64="","Ссылка на фото",""),IF(OR(AD64="",AD64="Нет"),"Кредитный договор",""),IF(OR(AE64="",AE64="Нет"),"Нотариальная закладная",""),IF(OR(AF64="",AF64="Нет"),"Выписка из реестра",""),IF(OR(AG64="",AG64="Нет"),"Оценка объекта",""),IF(AH64="","Статус в суде",""))))</f>
        <v/>
      </c>
      <c r="AQ64" s="35">
        <f>IF(NOT(COUNTA(A64:AN64)&gt;0),"",IF(AO64="","Можно публиковать","Не хватает"))</f>
        <v/>
      </c>
    </row>
    <row r="65" ht="22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 t="n"/>
      <c r="K65" s="31" t="n"/>
      <c r="L65" s="31" t="n"/>
      <c r="M65" s="32" t="n"/>
      <c r="N65" s="32" t="n"/>
      <c r="O65" s="32" t="n"/>
      <c r="P65" s="32" t="n"/>
      <c r="Q65" s="32" t="n"/>
      <c r="R65" s="32" t="n"/>
      <c r="S65" s="30" t="n"/>
      <c r="T65" s="30" t="n"/>
      <c r="U65" s="30" t="n"/>
      <c r="V65" s="30" t="n"/>
      <c r="W65" s="30" t="n"/>
      <c r="X65" s="33" t="n"/>
      <c r="Y65" s="33" t="n"/>
      <c r="Z65" s="33" t="n"/>
      <c r="AA65" s="33" t="n"/>
      <c r="AB65" s="34" t="n"/>
      <c r="AC65" s="34" t="n"/>
      <c r="AD65" s="30" t="n"/>
      <c r="AE65" s="30" t="n"/>
      <c r="AF65" s="30" t="n"/>
      <c r="AG65" s="30" t="n"/>
      <c r="AH65" s="30" t="n"/>
      <c r="AI65" s="32" t="n"/>
      <c r="AJ65" s="30" t="n"/>
      <c r="AK65" s="30" t="n"/>
      <c r="AL65" s="30" t="n"/>
      <c r="AM65" s="30" t="n"/>
      <c r="AN65" s="30" t="n"/>
      <c r="AO65" s="35">
        <f>IF(NOT(COUNTA(A65:AN65)&gt;0),"",IF(TEXTJOIN(", ",TRUE,IF(B65="","Название",""),IF(C65="","Тип недвижимости",""),IF(D65="","Страна",""),IF(E65="","Город",""),IF(F65="","Улица",""),IF(I65="","Валюта",""),IF(OR(AI65="",AI65&lt;1),"Хотя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земли",""),IF(W65="","Формат долга",""),IF(OR(X65="",X65&lt;=0),"Сумма долга",""),IF(AND(W65="Долги + Аукцион",OR(Y65="",Y65&lt;=0)),"Продать сейчас",""),IF(AND(W65="Долги + Аукцион",OR(Z65="",Z65&lt;=0)),"Минимальная цена продажи",""),IF(AND(W65="Долги + Аукцион",OR(AA65="",AA65&lt;=0)),"Стартовая ставка",""),IF(AND(W65="Долги + Аукцион",AB65=""),"Начало аукциона",""),IF(AND(W65="Долги + Аукцион",AC65=""),"Окончание аукциона",""),IF(AND(W65="Долги + Аукцион",AND(Y65&lt;&gt;"",Z65&lt;&gt;"",Z65&gt;Y65)),"Минимальная цена выше «Продать сейчас»",""),IF(AND(W65="Долги + Аукцион",AND(Y65&lt;&gt;"",Z65&lt;&gt;"",Z65&lt;=Y65,Z65&gt;Y65*0.9)),"Минимальная цена выше 90% от «Продать сейчас»",""),IF(AND(W65="Долги + Аукцион",AND(Y65&lt;&gt;"",AA65&lt;&gt;"",AA65&gt;Y65*0.3)),"Стартовая ставка выше 30% от «Продать сейчас»",""),IF(AND(W65="Долги + Аукцион",AND(AB65&lt;&gt;"",AC65&lt;&gt;"",AC65&lt;EDATE(AB65,3)+15)),"Аукцион короче 3 месяцев и 15 дней",""))="","",TEXTJOIN(", ",TRUE,IF(B65="","Название",""),IF(C65="","Тип недвижимости",""),IF(D65="","Страна",""),IF(E65="","Город",""),IF(F65="","Улица",""),IF(I65="","Валюта",""),IF(OR(AI65="",AI65&lt;1),"Хотя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земли",""),IF(W65="","Формат долга",""),IF(OR(X65="",X65&lt;=0),"Сумма долга",""),IF(AND(W65="Долги + Аукцион",OR(Y65="",Y65&lt;=0)),"Продать сейчас",""),IF(AND(W65="Долги + Аукцион",OR(Z65="",Z65&lt;=0)),"Минимальная цена продажи",""),IF(AND(W65="Долги + Аукцион",OR(AA65="",AA65&lt;=0)),"Стартовая ставка",""),IF(AND(W65="Долги + Аукцион",AB65=""),"Начало аукциона",""),IF(AND(W65="Долги + Аукцион",AC65=""),"Окончание аукциона",""),IF(AND(W65="Долги + Аукцион",AND(Y65&lt;&gt;"",Z65&lt;&gt;"",Z65&gt;Y65)),"Минимальная цена выше «Продать сейчас»",""),IF(AND(W65="Долги + Аукцион",AND(Y65&lt;&gt;"",Z65&lt;&gt;"",Z65&lt;=Y65,Z65&gt;Y65*0.9)),"Минимальная цена выше 90% от «Продать сейчас»",""),IF(AND(W65="Долги + Аукцион",AND(Y65&lt;&gt;"",AA65&lt;&gt;"",AA65&gt;Y65*0.3)),"Стартовая ставка выше 30% от «Продать сейчас»",""),IF(AND(W65="Долги + Аукцион",AND(AB65&lt;&gt;"",AC65&lt;&gt;"",AC65&lt;EDATE(AB65,3)+15)),"Аукцион короче 3 месяцев и 15 дней",""))))</f>
        <v/>
      </c>
      <c r="AP65" s="35">
        <f>IF(NOT(COUNTA(A65:AN65)&gt;0),"",IF(TEXTJOIN(", ",TRUE,IF(AL65="","Описание",""),IF(AND(AI65&lt;&gt;"",AI65&gt;=1,AI65&lt;5),"Фото меньше 5",""),IF(AK65="","Видео",""),IF(H65="","Кадастровый номер",""),IF(AJ65="","Ссылка на фото",""),IF(OR(AD65="",AD65="Нет"),"Кредитный договор",""),IF(OR(AE65="",AE65="Нет"),"Нотариальная закладная",""),IF(OR(AF65="",AF65="Нет"),"Выписка из реестра",""),IF(OR(AG65="",AG65="Нет"),"Оценка объекта",""),IF(AH65="","Статус в суде",""))="","",TEXTJOIN(", ",TRUE,IF(AL65="","Описание",""),IF(AND(AI65&lt;&gt;"",AI65&gt;=1,AI65&lt;5),"Фото меньше 5",""),IF(AK65="","Видео",""),IF(H65="","Кадастровый номер",""),IF(AJ65="","Ссылка на фото",""),IF(OR(AD65="",AD65="Нет"),"Кредитный договор",""),IF(OR(AE65="",AE65="Нет"),"Нотариальная закладная",""),IF(OR(AF65="",AF65="Нет"),"Выписка из реестра",""),IF(OR(AG65="",AG65="Нет"),"Оценка объекта",""),IF(AH65="","Статус в суде",""))))</f>
        <v/>
      </c>
      <c r="AQ65" s="35">
        <f>IF(NOT(COUNTA(A65:AN65)&gt;0),"",IF(AO65="","Можно публиковать","Не хватает"))</f>
        <v/>
      </c>
    </row>
    <row r="66" ht="22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7" t="n"/>
      <c r="K66" s="37" t="n"/>
      <c r="L66" s="37" t="n"/>
      <c r="M66" s="38" t="n"/>
      <c r="N66" s="38" t="n"/>
      <c r="O66" s="38" t="n"/>
      <c r="P66" s="38" t="n"/>
      <c r="Q66" s="38" t="n"/>
      <c r="R66" s="38" t="n"/>
      <c r="S66" s="36" t="n"/>
      <c r="T66" s="36" t="n"/>
      <c r="U66" s="36" t="n"/>
      <c r="V66" s="36" t="n"/>
      <c r="W66" s="36" t="n"/>
      <c r="X66" s="39" t="n"/>
      <c r="Y66" s="39" t="n"/>
      <c r="Z66" s="39" t="n"/>
      <c r="AA66" s="39" t="n"/>
      <c r="AB66" s="40" t="n"/>
      <c r="AC66" s="40" t="n"/>
      <c r="AD66" s="36" t="n"/>
      <c r="AE66" s="36" t="n"/>
      <c r="AF66" s="36" t="n"/>
      <c r="AG66" s="36" t="n"/>
      <c r="AH66" s="36" t="n"/>
      <c r="AI66" s="38" t="n"/>
      <c r="AJ66" s="36" t="n"/>
      <c r="AK66" s="36" t="n"/>
      <c r="AL66" s="36" t="n"/>
      <c r="AM66" s="36" t="n"/>
      <c r="AN66" s="36" t="n"/>
      <c r="AO66" s="35">
        <f>IF(NOT(COUNTA(A66:AN66)&gt;0),"",IF(TEXTJOIN(", ",TRUE,IF(B66="","Название",""),IF(C66="","Тип недвижимости",""),IF(D66="","Страна",""),IF(E66="","Город",""),IF(F66="","Улица",""),IF(I66="","Валюта",""),IF(OR(AI66="",AI66&lt;1),"Хотя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земли",""),IF(W66="","Формат долга",""),IF(OR(X66="",X66&lt;=0),"Сумма долга",""),IF(AND(W66="Долги + Аукцион",OR(Y66="",Y66&lt;=0)),"Продать сейчас",""),IF(AND(W66="Долги + Аукцион",OR(Z66="",Z66&lt;=0)),"Минимальная цена продажи",""),IF(AND(W66="Долги + Аукцион",OR(AA66="",AA66&lt;=0)),"Стартовая ставка",""),IF(AND(W66="Долги + Аукцион",AB66=""),"Начало аукциона",""),IF(AND(W66="Долги + Аукцион",AC66=""),"Окончание аукциона",""),IF(AND(W66="Долги + Аукцион",AND(Y66&lt;&gt;"",Z66&lt;&gt;"",Z66&gt;Y66)),"Минимальная цена выше «Продать сейчас»",""),IF(AND(W66="Долги + Аукцион",AND(Y66&lt;&gt;"",Z66&lt;&gt;"",Z66&lt;=Y66,Z66&gt;Y66*0.9)),"Минимальная цена выше 90% от «Продать сейчас»",""),IF(AND(W66="Долги + Аукцион",AND(Y66&lt;&gt;"",AA66&lt;&gt;"",AA66&gt;Y66*0.3)),"Стартовая ставка выше 30% от «Продать сейчас»",""),IF(AND(W66="Долги + Аукцион",AND(AB66&lt;&gt;"",AC66&lt;&gt;"",AC66&lt;EDATE(AB66,3)+15)),"Аукцион короче 3 месяцев и 15 дней",""))="","",TEXTJOIN(", ",TRUE,IF(B66="","Название",""),IF(C66="","Тип недвижимости",""),IF(D66="","Страна",""),IF(E66="","Город",""),IF(F66="","Улица",""),IF(I66="","Валюта",""),IF(OR(AI66="",AI66&lt;1),"Хотя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земли",""),IF(W66="","Формат долга",""),IF(OR(X66="",X66&lt;=0),"Сумма долга",""),IF(AND(W66="Долги + Аукцион",OR(Y66="",Y66&lt;=0)),"Продать сейчас",""),IF(AND(W66="Долги + Аукцион",OR(Z66="",Z66&lt;=0)),"Минимальная цена продажи",""),IF(AND(W66="Долги + Аукцион",OR(AA66="",AA66&lt;=0)),"Стартовая ставка",""),IF(AND(W66="Долги + Аукцион",AB66=""),"Начало аукциона",""),IF(AND(W66="Долги + Аукцион",AC66=""),"Окончание аукциона",""),IF(AND(W66="Долги + Аукцион",AND(Y66&lt;&gt;"",Z66&lt;&gt;"",Z66&gt;Y66)),"Минимальная цена выше «Продать сейчас»",""),IF(AND(W66="Долги + Аукцион",AND(Y66&lt;&gt;"",Z66&lt;&gt;"",Z66&lt;=Y66,Z66&gt;Y66*0.9)),"Минимальная цена выше 90% от «Продать сейчас»",""),IF(AND(W66="Долги + Аукцион",AND(Y66&lt;&gt;"",AA66&lt;&gt;"",AA66&gt;Y66*0.3)),"Стартовая ставка выше 30% от «Продать сейчас»",""),IF(AND(W66="Долги + Аукцион",AND(AB66&lt;&gt;"",AC66&lt;&gt;"",AC66&lt;EDATE(AB66,3)+15)),"Аукцион короче 3 месяцев и 15 дней",""))))</f>
        <v/>
      </c>
      <c r="AP66" s="35">
        <f>IF(NOT(COUNTA(A66:AN66)&gt;0),"",IF(TEXTJOIN(", ",TRUE,IF(AL66="","Описание",""),IF(AND(AI66&lt;&gt;"",AI66&gt;=1,AI66&lt;5),"Фото меньше 5",""),IF(AK66="","Видео",""),IF(H66="","Кадастровый номер",""),IF(AJ66="","Ссылка на фото",""),IF(OR(AD66="",AD66="Нет"),"Кредитный договор",""),IF(OR(AE66="",AE66="Нет"),"Нотариальная закладная",""),IF(OR(AF66="",AF66="Нет"),"Выписка из реестра",""),IF(OR(AG66="",AG66="Нет"),"Оценка объекта",""),IF(AH66="","Статус в суде",""))="","",TEXTJOIN(", ",TRUE,IF(AL66="","Описание",""),IF(AND(AI66&lt;&gt;"",AI66&gt;=1,AI66&lt;5),"Фото меньше 5",""),IF(AK66="","Видео",""),IF(H66="","Кадастровый номер",""),IF(AJ66="","Ссылка на фото",""),IF(OR(AD66="",AD66="Нет"),"Кредитный договор",""),IF(OR(AE66="",AE66="Нет"),"Нотариальная закладная",""),IF(OR(AF66="",AF66="Нет"),"Выписка из реестра",""),IF(OR(AG66="",AG66="Нет"),"Оценка объекта",""),IF(AH66="","Статус в суде",""))))</f>
        <v/>
      </c>
      <c r="AQ66" s="35">
        <f>IF(NOT(COUNTA(A66:AN66)&gt;0),"",IF(AO66="","Можно публиковать","Не хватает"))</f>
        <v/>
      </c>
    </row>
    <row r="67" ht="22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 t="n"/>
      <c r="K67" s="31" t="n"/>
      <c r="L67" s="31" t="n"/>
      <c r="M67" s="32" t="n"/>
      <c r="N67" s="32" t="n"/>
      <c r="O67" s="32" t="n"/>
      <c r="P67" s="32" t="n"/>
      <c r="Q67" s="32" t="n"/>
      <c r="R67" s="32" t="n"/>
      <c r="S67" s="30" t="n"/>
      <c r="T67" s="30" t="n"/>
      <c r="U67" s="30" t="n"/>
      <c r="V67" s="30" t="n"/>
      <c r="W67" s="30" t="n"/>
      <c r="X67" s="33" t="n"/>
      <c r="Y67" s="33" t="n"/>
      <c r="Z67" s="33" t="n"/>
      <c r="AA67" s="33" t="n"/>
      <c r="AB67" s="34" t="n"/>
      <c r="AC67" s="34" t="n"/>
      <c r="AD67" s="30" t="n"/>
      <c r="AE67" s="30" t="n"/>
      <c r="AF67" s="30" t="n"/>
      <c r="AG67" s="30" t="n"/>
      <c r="AH67" s="30" t="n"/>
      <c r="AI67" s="32" t="n"/>
      <c r="AJ67" s="30" t="n"/>
      <c r="AK67" s="30" t="n"/>
      <c r="AL67" s="30" t="n"/>
      <c r="AM67" s="30" t="n"/>
      <c r="AN67" s="30" t="n"/>
      <c r="AO67" s="35">
        <f>IF(NOT(COUNTA(A67:AN67)&gt;0),"",IF(TEXTJOIN(", ",TRUE,IF(B67="","Название",""),IF(C67="","Тип недвижимости",""),IF(D67="","Страна",""),IF(E67="","Город",""),IF(F67="","Улица",""),IF(I67="","Валюта",""),IF(OR(AI67="",AI67&lt;1),"Хотя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земли",""),IF(W67="","Формат долга",""),IF(OR(X67="",X67&lt;=0),"Сумма долга",""),IF(AND(W67="Долги + Аукцион",OR(Y67="",Y67&lt;=0)),"Продать сейчас",""),IF(AND(W67="Долги + Аукцион",OR(Z67="",Z67&lt;=0)),"Минимальная цена продажи",""),IF(AND(W67="Долги + Аукцион",OR(AA67="",AA67&lt;=0)),"Стартовая ставка",""),IF(AND(W67="Долги + Аукцион",AB67=""),"Начало аукциона",""),IF(AND(W67="Долги + Аукцион",AC67=""),"Окончание аукциона",""),IF(AND(W67="Долги + Аукцион",AND(Y67&lt;&gt;"",Z67&lt;&gt;"",Z67&gt;Y67)),"Минимальная цена выше «Продать сейчас»",""),IF(AND(W67="Долги + Аукцион",AND(Y67&lt;&gt;"",Z67&lt;&gt;"",Z67&lt;=Y67,Z67&gt;Y67*0.9)),"Минимальная цена выше 90% от «Продать сейчас»",""),IF(AND(W67="Долги + Аукцион",AND(Y67&lt;&gt;"",AA67&lt;&gt;"",AA67&gt;Y67*0.3)),"Стартовая ставка выше 30% от «Продать сейчас»",""),IF(AND(W67="Долги + Аукцион",AND(AB67&lt;&gt;"",AC67&lt;&gt;"",AC67&lt;EDATE(AB67,3)+15)),"Аукцион короче 3 месяцев и 15 дней",""))="","",TEXTJOIN(", ",TRUE,IF(B67="","Название",""),IF(C67="","Тип недвижимости",""),IF(D67="","Страна",""),IF(E67="","Город",""),IF(F67="","Улица",""),IF(I67="","Валюта",""),IF(OR(AI67="",AI67&lt;1),"Хотя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земли",""),IF(W67="","Формат долга",""),IF(OR(X67="",X67&lt;=0),"Сумма долга",""),IF(AND(W67="Долги + Аукцион",OR(Y67="",Y67&lt;=0)),"Продать сейчас",""),IF(AND(W67="Долги + Аукцион",OR(Z67="",Z67&lt;=0)),"Минимальная цена продажи",""),IF(AND(W67="Долги + Аукцион",OR(AA67="",AA67&lt;=0)),"Стартовая ставка",""),IF(AND(W67="Долги + Аукцион",AB67=""),"Начало аукциона",""),IF(AND(W67="Долги + Аукцион",AC67=""),"Окончание аукциона",""),IF(AND(W67="Долги + Аукцион",AND(Y67&lt;&gt;"",Z67&lt;&gt;"",Z67&gt;Y67)),"Минимальная цена выше «Продать сейчас»",""),IF(AND(W67="Долги + Аукцион",AND(Y67&lt;&gt;"",Z67&lt;&gt;"",Z67&lt;=Y67,Z67&gt;Y67*0.9)),"Минимальная цена выше 90% от «Продать сейчас»",""),IF(AND(W67="Долги + Аукцион",AND(Y67&lt;&gt;"",AA67&lt;&gt;"",AA67&gt;Y67*0.3)),"Стартовая ставка выше 30% от «Продать сейчас»",""),IF(AND(W67="Долги + Аукцион",AND(AB67&lt;&gt;"",AC67&lt;&gt;"",AC67&lt;EDATE(AB67,3)+15)),"Аукцион короче 3 месяцев и 15 дней",""))))</f>
        <v/>
      </c>
      <c r="AP67" s="35">
        <f>IF(NOT(COUNTA(A67:AN67)&gt;0),"",IF(TEXTJOIN(", ",TRUE,IF(AL67="","Описание",""),IF(AND(AI67&lt;&gt;"",AI67&gt;=1,AI67&lt;5),"Фото меньше 5",""),IF(AK67="","Видео",""),IF(H67="","Кадастровый номер",""),IF(AJ67="","Ссылка на фото",""),IF(OR(AD67="",AD67="Нет"),"Кредитный договор",""),IF(OR(AE67="",AE67="Нет"),"Нотариальная закладная",""),IF(OR(AF67="",AF67="Нет"),"Выписка из реестра",""),IF(OR(AG67="",AG67="Нет"),"Оценка объекта",""),IF(AH67="","Статус в суде",""))="","",TEXTJOIN(", ",TRUE,IF(AL67="","Описание",""),IF(AND(AI67&lt;&gt;"",AI67&gt;=1,AI67&lt;5),"Фото меньше 5",""),IF(AK67="","Видео",""),IF(H67="","Кадастровый номер",""),IF(AJ67="","Ссылка на фото",""),IF(OR(AD67="",AD67="Нет"),"Кредитный договор",""),IF(OR(AE67="",AE67="Нет"),"Нотариальная закладная",""),IF(OR(AF67="",AF67="Нет"),"Выписка из реестра",""),IF(OR(AG67="",AG67="Нет"),"Оценка объекта",""),IF(AH67="","Статус в суде",""))))</f>
        <v/>
      </c>
      <c r="AQ67" s="35">
        <f>IF(NOT(COUNTA(A67:AN67)&gt;0),"",IF(AO67="","Можно публиковать","Не хватает"))</f>
        <v/>
      </c>
    </row>
    <row r="68" ht="22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7" t="n"/>
      <c r="K68" s="37" t="n"/>
      <c r="L68" s="37" t="n"/>
      <c r="M68" s="38" t="n"/>
      <c r="N68" s="38" t="n"/>
      <c r="O68" s="38" t="n"/>
      <c r="P68" s="38" t="n"/>
      <c r="Q68" s="38" t="n"/>
      <c r="R68" s="38" t="n"/>
      <c r="S68" s="36" t="n"/>
      <c r="T68" s="36" t="n"/>
      <c r="U68" s="36" t="n"/>
      <c r="V68" s="36" t="n"/>
      <c r="W68" s="36" t="n"/>
      <c r="X68" s="39" t="n"/>
      <c r="Y68" s="39" t="n"/>
      <c r="Z68" s="39" t="n"/>
      <c r="AA68" s="39" t="n"/>
      <c r="AB68" s="40" t="n"/>
      <c r="AC68" s="40" t="n"/>
      <c r="AD68" s="36" t="n"/>
      <c r="AE68" s="36" t="n"/>
      <c r="AF68" s="36" t="n"/>
      <c r="AG68" s="36" t="n"/>
      <c r="AH68" s="36" t="n"/>
      <c r="AI68" s="38" t="n"/>
      <c r="AJ68" s="36" t="n"/>
      <c r="AK68" s="36" t="n"/>
      <c r="AL68" s="36" t="n"/>
      <c r="AM68" s="36" t="n"/>
      <c r="AN68" s="36" t="n"/>
      <c r="AO68" s="35">
        <f>IF(NOT(COUNTA(A68:AN68)&gt;0),"",IF(TEXTJOIN(", ",TRUE,IF(B68="","Название",""),IF(C68="","Тип недвижимости",""),IF(D68="","Страна",""),IF(E68="","Город",""),IF(F68="","Улица",""),IF(I68="","Валюта",""),IF(OR(AI68="",AI68&lt;1),"Хотя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земли",""),IF(W68="","Формат долга",""),IF(OR(X68="",X68&lt;=0),"Сумма долга",""),IF(AND(W68="Долги + Аукцион",OR(Y68="",Y68&lt;=0)),"Продать сейчас",""),IF(AND(W68="Долги + Аукцион",OR(Z68="",Z68&lt;=0)),"Минимальная цена продажи",""),IF(AND(W68="Долги + Аукцион",OR(AA68="",AA68&lt;=0)),"Стартовая ставка",""),IF(AND(W68="Долги + Аукцион",AB68=""),"Начало аукциона",""),IF(AND(W68="Долги + Аукцион",AC68=""),"Окончание аукциона",""),IF(AND(W68="Долги + Аукцион",AND(Y68&lt;&gt;"",Z68&lt;&gt;"",Z68&gt;Y68)),"Минимальная цена выше «Продать сейчас»",""),IF(AND(W68="Долги + Аукцион",AND(Y68&lt;&gt;"",Z68&lt;&gt;"",Z68&lt;=Y68,Z68&gt;Y68*0.9)),"Минимальная цена выше 90% от «Продать сейчас»",""),IF(AND(W68="Долги + Аукцион",AND(Y68&lt;&gt;"",AA68&lt;&gt;"",AA68&gt;Y68*0.3)),"Стартовая ставка выше 30% от «Продать сейчас»",""),IF(AND(W68="Долги + Аукцион",AND(AB68&lt;&gt;"",AC68&lt;&gt;"",AC68&lt;EDATE(AB68,3)+15)),"Аукцион короче 3 месяцев и 15 дней",""))="","",TEXTJOIN(", ",TRUE,IF(B68="","Название",""),IF(C68="","Тип недвижимости",""),IF(D68="","Страна",""),IF(E68="","Город",""),IF(F68="","Улица",""),IF(I68="","Валюта",""),IF(OR(AI68="",AI68&lt;1),"Хотя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земли",""),IF(W68="","Формат долга",""),IF(OR(X68="",X68&lt;=0),"Сумма долга",""),IF(AND(W68="Долги + Аукцион",OR(Y68="",Y68&lt;=0)),"Продать сейчас",""),IF(AND(W68="Долги + Аукцион",OR(Z68="",Z68&lt;=0)),"Минимальная цена продажи",""),IF(AND(W68="Долги + Аукцион",OR(AA68="",AA68&lt;=0)),"Стартовая ставка",""),IF(AND(W68="Долги + Аукцион",AB68=""),"Начало аукциона",""),IF(AND(W68="Долги + Аукцион",AC68=""),"Окончание аукциона",""),IF(AND(W68="Долги + Аукцион",AND(Y68&lt;&gt;"",Z68&lt;&gt;"",Z68&gt;Y68)),"Минимальная цена выше «Продать сейчас»",""),IF(AND(W68="Долги + Аукцион",AND(Y68&lt;&gt;"",Z68&lt;&gt;"",Z68&lt;=Y68,Z68&gt;Y68*0.9)),"Минимальная цена выше 90% от «Продать сейчас»",""),IF(AND(W68="Долги + Аукцион",AND(Y68&lt;&gt;"",AA68&lt;&gt;"",AA68&gt;Y68*0.3)),"Стартовая ставка выше 30% от «Продать сейчас»",""),IF(AND(W68="Долги + Аукцион",AND(AB68&lt;&gt;"",AC68&lt;&gt;"",AC68&lt;EDATE(AB68,3)+15)),"Аукцион короче 3 месяцев и 15 дней",""))))</f>
        <v/>
      </c>
      <c r="AP68" s="35">
        <f>IF(NOT(COUNTA(A68:AN68)&gt;0),"",IF(TEXTJOIN(", ",TRUE,IF(AL68="","Описание",""),IF(AND(AI68&lt;&gt;"",AI68&gt;=1,AI68&lt;5),"Фото меньше 5",""),IF(AK68="","Видео",""),IF(H68="","Кадастровый номер",""),IF(AJ68="","Ссылка на фото",""),IF(OR(AD68="",AD68="Нет"),"Кредитный договор",""),IF(OR(AE68="",AE68="Нет"),"Нотариальная закладная",""),IF(OR(AF68="",AF68="Нет"),"Выписка из реестра",""),IF(OR(AG68="",AG68="Нет"),"Оценка объекта",""),IF(AH68="","Статус в суде",""))="","",TEXTJOIN(", ",TRUE,IF(AL68="","Описание",""),IF(AND(AI68&lt;&gt;"",AI68&gt;=1,AI68&lt;5),"Фото меньше 5",""),IF(AK68="","Видео",""),IF(H68="","Кадастровый номер",""),IF(AJ68="","Ссылка на фото",""),IF(OR(AD68="",AD68="Нет"),"Кредитный договор",""),IF(OR(AE68="",AE68="Нет"),"Нотариальная закладная",""),IF(OR(AF68="",AF68="Нет"),"Выписка из реестра",""),IF(OR(AG68="",AG68="Нет"),"Оценка объекта",""),IF(AH68="","Статус в суде",""))))</f>
        <v/>
      </c>
      <c r="AQ68" s="35">
        <f>IF(NOT(COUNTA(A68:AN68)&gt;0),"",IF(AO68="","Можно публиковать","Не хватает"))</f>
        <v/>
      </c>
    </row>
    <row r="69" ht="22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 t="n"/>
      <c r="K69" s="31" t="n"/>
      <c r="L69" s="31" t="n"/>
      <c r="M69" s="32" t="n"/>
      <c r="N69" s="32" t="n"/>
      <c r="O69" s="32" t="n"/>
      <c r="P69" s="32" t="n"/>
      <c r="Q69" s="32" t="n"/>
      <c r="R69" s="32" t="n"/>
      <c r="S69" s="30" t="n"/>
      <c r="T69" s="30" t="n"/>
      <c r="U69" s="30" t="n"/>
      <c r="V69" s="30" t="n"/>
      <c r="W69" s="30" t="n"/>
      <c r="X69" s="33" t="n"/>
      <c r="Y69" s="33" t="n"/>
      <c r="Z69" s="33" t="n"/>
      <c r="AA69" s="33" t="n"/>
      <c r="AB69" s="34" t="n"/>
      <c r="AC69" s="34" t="n"/>
      <c r="AD69" s="30" t="n"/>
      <c r="AE69" s="30" t="n"/>
      <c r="AF69" s="30" t="n"/>
      <c r="AG69" s="30" t="n"/>
      <c r="AH69" s="30" t="n"/>
      <c r="AI69" s="32" t="n"/>
      <c r="AJ69" s="30" t="n"/>
      <c r="AK69" s="30" t="n"/>
      <c r="AL69" s="30" t="n"/>
      <c r="AM69" s="30" t="n"/>
      <c r="AN69" s="30" t="n"/>
      <c r="AO69" s="35">
        <f>IF(NOT(COUNTA(A69:AN69)&gt;0),"",IF(TEXTJOIN(", ",TRUE,IF(B69="","Название",""),IF(C69="","Тип недвижимости",""),IF(D69="","Страна",""),IF(E69="","Город",""),IF(F69="","Улица",""),IF(I69="","Валюта",""),IF(OR(AI69="",AI69&lt;1),"Хотя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земли",""),IF(W69="","Формат долга",""),IF(OR(X69="",X69&lt;=0),"Сумма долга",""),IF(AND(W69="Долги + Аукцион",OR(Y69="",Y69&lt;=0)),"Продать сейчас",""),IF(AND(W69="Долги + Аукцион",OR(Z69="",Z69&lt;=0)),"Минимальная цена продажи",""),IF(AND(W69="Долги + Аукцион",OR(AA69="",AA69&lt;=0)),"Стартовая ставка",""),IF(AND(W69="Долги + Аукцион",AB69=""),"Начало аукциона",""),IF(AND(W69="Долги + Аукцион",AC69=""),"Окончание аукциона",""),IF(AND(W69="Долги + Аукцион",AND(Y69&lt;&gt;"",Z69&lt;&gt;"",Z69&gt;Y69)),"Минимальная цена выше «Продать сейчас»",""),IF(AND(W69="Долги + Аукцион",AND(Y69&lt;&gt;"",Z69&lt;&gt;"",Z69&lt;=Y69,Z69&gt;Y69*0.9)),"Минимальная цена выше 90% от «Продать сейчас»",""),IF(AND(W69="Долги + Аукцион",AND(Y69&lt;&gt;"",AA69&lt;&gt;"",AA69&gt;Y69*0.3)),"Стартовая ставка выше 30% от «Продать сейчас»",""),IF(AND(W69="Долги + Аукцион",AND(AB69&lt;&gt;"",AC69&lt;&gt;"",AC69&lt;EDATE(AB69,3)+15)),"Аукцион короче 3 месяцев и 15 дней",""))="","",TEXTJOIN(", ",TRUE,IF(B69="","Название",""),IF(C69="","Тип недвижимости",""),IF(D69="","Страна",""),IF(E69="","Город",""),IF(F69="","Улица",""),IF(I69="","Валюта",""),IF(OR(AI69="",AI69&lt;1),"Хотя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земли",""),IF(W69="","Формат долга",""),IF(OR(X69="",X69&lt;=0),"Сумма долга",""),IF(AND(W69="Долги + Аукцион",OR(Y69="",Y69&lt;=0)),"Продать сейчас",""),IF(AND(W69="Долги + Аукцион",OR(Z69="",Z69&lt;=0)),"Минимальная цена продажи",""),IF(AND(W69="Долги + Аукцион",OR(AA69="",AA69&lt;=0)),"Стартовая ставка",""),IF(AND(W69="Долги + Аукцион",AB69=""),"Начало аукциона",""),IF(AND(W69="Долги + Аукцион",AC69=""),"Окончание аукциона",""),IF(AND(W69="Долги + Аукцион",AND(Y69&lt;&gt;"",Z69&lt;&gt;"",Z69&gt;Y69)),"Минимальная цена выше «Продать сейчас»",""),IF(AND(W69="Долги + Аукцион",AND(Y69&lt;&gt;"",Z69&lt;&gt;"",Z69&lt;=Y69,Z69&gt;Y69*0.9)),"Минимальная цена выше 90% от «Продать сейчас»",""),IF(AND(W69="Долги + Аукцион",AND(Y69&lt;&gt;"",AA69&lt;&gt;"",AA69&gt;Y69*0.3)),"Стартовая ставка выше 30% от «Продать сейчас»",""),IF(AND(W69="Долги + Аукцион",AND(AB69&lt;&gt;"",AC69&lt;&gt;"",AC69&lt;EDATE(AB69,3)+15)),"Аукцион короче 3 месяцев и 15 дней",""))))</f>
        <v/>
      </c>
      <c r="AP69" s="35">
        <f>IF(NOT(COUNTA(A69:AN69)&gt;0),"",IF(TEXTJOIN(", ",TRUE,IF(AL69="","Описание",""),IF(AND(AI69&lt;&gt;"",AI69&gt;=1,AI69&lt;5),"Фото меньше 5",""),IF(AK69="","Видео",""),IF(H69="","Кадастровый номер",""),IF(AJ69="","Ссылка на фото",""),IF(OR(AD69="",AD69="Нет"),"Кредитный договор",""),IF(OR(AE69="",AE69="Нет"),"Нотариальная закладная",""),IF(OR(AF69="",AF69="Нет"),"Выписка из реестра",""),IF(OR(AG69="",AG69="Нет"),"Оценка объекта",""),IF(AH69="","Статус в суде",""))="","",TEXTJOIN(", ",TRUE,IF(AL69="","Описание",""),IF(AND(AI69&lt;&gt;"",AI69&gt;=1,AI69&lt;5),"Фото меньше 5",""),IF(AK69="","Видео",""),IF(H69="","Кадастровый номер",""),IF(AJ69="","Ссылка на фото",""),IF(OR(AD69="",AD69="Нет"),"Кредитный договор",""),IF(OR(AE69="",AE69="Нет"),"Нотариальная закладная",""),IF(OR(AF69="",AF69="Нет"),"Выписка из реестра",""),IF(OR(AG69="",AG69="Нет"),"Оценка объекта",""),IF(AH69="","Статус в суде",""))))</f>
        <v/>
      </c>
      <c r="AQ69" s="35">
        <f>IF(NOT(COUNTA(A69:AN69)&gt;0),"",IF(AO69="","Можно публиковать","Не хватает"))</f>
        <v/>
      </c>
    </row>
    <row r="70" ht="22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7" t="n"/>
      <c r="K70" s="37" t="n"/>
      <c r="L70" s="37" t="n"/>
      <c r="M70" s="38" t="n"/>
      <c r="N70" s="38" t="n"/>
      <c r="O70" s="38" t="n"/>
      <c r="P70" s="38" t="n"/>
      <c r="Q70" s="38" t="n"/>
      <c r="R70" s="38" t="n"/>
      <c r="S70" s="36" t="n"/>
      <c r="T70" s="36" t="n"/>
      <c r="U70" s="36" t="n"/>
      <c r="V70" s="36" t="n"/>
      <c r="W70" s="36" t="n"/>
      <c r="X70" s="39" t="n"/>
      <c r="Y70" s="39" t="n"/>
      <c r="Z70" s="39" t="n"/>
      <c r="AA70" s="39" t="n"/>
      <c r="AB70" s="40" t="n"/>
      <c r="AC70" s="40" t="n"/>
      <c r="AD70" s="36" t="n"/>
      <c r="AE70" s="36" t="n"/>
      <c r="AF70" s="36" t="n"/>
      <c r="AG70" s="36" t="n"/>
      <c r="AH70" s="36" t="n"/>
      <c r="AI70" s="38" t="n"/>
      <c r="AJ70" s="36" t="n"/>
      <c r="AK70" s="36" t="n"/>
      <c r="AL70" s="36" t="n"/>
      <c r="AM70" s="36" t="n"/>
      <c r="AN70" s="36" t="n"/>
      <c r="AO70" s="35">
        <f>IF(NOT(COUNTA(A70:AN70)&gt;0),"",IF(TEXTJOIN(", ",TRUE,IF(B70="","Название",""),IF(C70="","Тип недвижимости",""),IF(D70="","Страна",""),IF(E70="","Город",""),IF(F70="","Улица",""),IF(I70="","Валюта",""),IF(OR(AI70="",AI70&lt;1),"Хотя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земли",""),IF(W70="","Формат долга",""),IF(OR(X70="",X70&lt;=0),"Сумма долга",""),IF(AND(W70="Долги + Аукцион",OR(Y70="",Y70&lt;=0)),"Продать сейчас",""),IF(AND(W70="Долги + Аукцион",OR(Z70="",Z70&lt;=0)),"Минимальная цена продажи",""),IF(AND(W70="Долги + Аукцион",OR(AA70="",AA70&lt;=0)),"Стартовая ставка",""),IF(AND(W70="Долги + Аукцион",AB70=""),"Начало аукциона",""),IF(AND(W70="Долги + Аукцион",AC70=""),"Окончание аукциона",""),IF(AND(W70="Долги + Аукцион",AND(Y70&lt;&gt;"",Z70&lt;&gt;"",Z70&gt;Y70)),"Минимальная цена выше «Продать сейчас»",""),IF(AND(W70="Долги + Аукцион",AND(Y70&lt;&gt;"",Z70&lt;&gt;"",Z70&lt;=Y70,Z70&gt;Y70*0.9)),"Минимальная цена выше 90% от «Продать сейчас»",""),IF(AND(W70="Долги + Аукцион",AND(Y70&lt;&gt;"",AA70&lt;&gt;"",AA70&gt;Y70*0.3)),"Стартовая ставка выше 30% от «Продать сейчас»",""),IF(AND(W70="Долги + Аукцион",AND(AB70&lt;&gt;"",AC70&lt;&gt;"",AC70&lt;EDATE(AB70,3)+15)),"Аукцион короче 3 месяцев и 15 дней",""))="","",TEXTJOIN(", ",TRUE,IF(B70="","Название",""),IF(C70="","Тип недвижимости",""),IF(D70="","Страна",""),IF(E70="","Город",""),IF(F70="","Улица",""),IF(I70="","Валюта",""),IF(OR(AI70="",AI70&lt;1),"Хотя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земли",""),IF(W70="","Формат долга",""),IF(OR(X70="",X70&lt;=0),"Сумма долга",""),IF(AND(W70="Долги + Аукцион",OR(Y70="",Y70&lt;=0)),"Продать сейчас",""),IF(AND(W70="Долги + Аукцион",OR(Z70="",Z70&lt;=0)),"Минимальная цена продажи",""),IF(AND(W70="Долги + Аукцион",OR(AA70="",AA70&lt;=0)),"Стартовая ставка",""),IF(AND(W70="Долги + Аукцион",AB70=""),"Начало аукциона",""),IF(AND(W70="Долги + Аукцион",AC70=""),"Окончание аукциона",""),IF(AND(W70="Долги + Аукцион",AND(Y70&lt;&gt;"",Z70&lt;&gt;"",Z70&gt;Y70)),"Минимальная цена выше «Продать сейчас»",""),IF(AND(W70="Долги + Аукцион",AND(Y70&lt;&gt;"",Z70&lt;&gt;"",Z70&lt;=Y70,Z70&gt;Y70*0.9)),"Минимальная цена выше 90% от «Продать сейчас»",""),IF(AND(W70="Долги + Аукцион",AND(Y70&lt;&gt;"",AA70&lt;&gt;"",AA70&gt;Y70*0.3)),"Стартовая ставка выше 30% от «Продать сейчас»",""),IF(AND(W70="Долги + Аукцион",AND(AB70&lt;&gt;"",AC70&lt;&gt;"",AC70&lt;EDATE(AB70,3)+15)),"Аукцион короче 3 месяцев и 15 дней",""))))</f>
        <v/>
      </c>
      <c r="AP70" s="35">
        <f>IF(NOT(COUNTA(A70:AN70)&gt;0),"",IF(TEXTJOIN(", ",TRUE,IF(AL70="","Описание",""),IF(AND(AI70&lt;&gt;"",AI70&gt;=1,AI70&lt;5),"Фото меньше 5",""),IF(AK70="","Видео",""),IF(H70="","Кадастровый номер",""),IF(AJ70="","Ссылка на фото",""),IF(OR(AD70="",AD70="Нет"),"Кредитный договор",""),IF(OR(AE70="",AE70="Нет"),"Нотариальная закладная",""),IF(OR(AF70="",AF70="Нет"),"Выписка из реестра",""),IF(OR(AG70="",AG70="Нет"),"Оценка объекта",""),IF(AH70="","Статус в суде",""))="","",TEXTJOIN(", ",TRUE,IF(AL70="","Описание",""),IF(AND(AI70&lt;&gt;"",AI70&gt;=1,AI70&lt;5),"Фото меньше 5",""),IF(AK70="","Видео",""),IF(H70="","Кадастровый номер",""),IF(AJ70="","Ссылка на фото",""),IF(OR(AD70="",AD70="Нет"),"Кредитный договор",""),IF(OR(AE70="",AE70="Нет"),"Нотариальная закладная",""),IF(OR(AF70="",AF70="Нет"),"Выписка из реестра",""),IF(OR(AG70="",AG70="Нет"),"Оценка объекта",""),IF(AH70="","Статус в суде",""))))</f>
        <v/>
      </c>
      <c r="AQ70" s="35">
        <f>IF(NOT(COUNTA(A70:AN70)&gt;0),"",IF(AO70="","Можно публиковать","Не хватает"))</f>
        <v/>
      </c>
    </row>
    <row r="71" ht="22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 t="n"/>
      <c r="K71" s="31" t="n"/>
      <c r="L71" s="31" t="n"/>
      <c r="M71" s="32" t="n"/>
      <c r="N71" s="32" t="n"/>
      <c r="O71" s="32" t="n"/>
      <c r="P71" s="32" t="n"/>
      <c r="Q71" s="32" t="n"/>
      <c r="R71" s="32" t="n"/>
      <c r="S71" s="30" t="n"/>
      <c r="T71" s="30" t="n"/>
      <c r="U71" s="30" t="n"/>
      <c r="V71" s="30" t="n"/>
      <c r="W71" s="30" t="n"/>
      <c r="X71" s="33" t="n"/>
      <c r="Y71" s="33" t="n"/>
      <c r="Z71" s="33" t="n"/>
      <c r="AA71" s="33" t="n"/>
      <c r="AB71" s="34" t="n"/>
      <c r="AC71" s="34" t="n"/>
      <c r="AD71" s="30" t="n"/>
      <c r="AE71" s="30" t="n"/>
      <c r="AF71" s="30" t="n"/>
      <c r="AG71" s="30" t="n"/>
      <c r="AH71" s="30" t="n"/>
      <c r="AI71" s="32" t="n"/>
      <c r="AJ71" s="30" t="n"/>
      <c r="AK71" s="30" t="n"/>
      <c r="AL71" s="30" t="n"/>
      <c r="AM71" s="30" t="n"/>
      <c r="AN71" s="30" t="n"/>
      <c r="AO71" s="35">
        <f>IF(NOT(COUNTA(A71:AN71)&gt;0),"",IF(TEXTJOIN(", ",TRUE,IF(B71="","Название",""),IF(C71="","Тип недвижимости",""),IF(D71="","Страна",""),IF(E71="","Город",""),IF(F71="","Улица",""),IF(I71="","Валюта",""),IF(OR(AI71="",AI71&lt;1),"Хотя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земли",""),IF(W71="","Формат долга",""),IF(OR(X71="",X71&lt;=0),"Сумма долга",""),IF(AND(W71="Долги + Аукцион",OR(Y71="",Y71&lt;=0)),"Продать сейчас",""),IF(AND(W71="Долги + Аукцион",OR(Z71="",Z71&lt;=0)),"Минимальная цена продажи",""),IF(AND(W71="Долги + Аукцион",OR(AA71="",AA71&lt;=0)),"Стартовая ставка",""),IF(AND(W71="Долги + Аукцион",AB71=""),"Начало аукциона",""),IF(AND(W71="Долги + Аукцион",AC71=""),"Окончание аукциона",""),IF(AND(W71="Долги + Аукцион",AND(Y71&lt;&gt;"",Z71&lt;&gt;"",Z71&gt;Y71)),"Минимальная цена выше «Продать сейчас»",""),IF(AND(W71="Долги + Аукцион",AND(Y71&lt;&gt;"",Z71&lt;&gt;"",Z71&lt;=Y71,Z71&gt;Y71*0.9)),"Минимальная цена выше 90% от «Продать сейчас»",""),IF(AND(W71="Долги + Аукцион",AND(Y71&lt;&gt;"",AA71&lt;&gt;"",AA71&gt;Y71*0.3)),"Стартовая ставка выше 30% от «Продать сейчас»",""),IF(AND(W71="Долги + Аукцион",AND(AB71&lt;&gt;"",AC71&lt;&gt;"",AC71&lt;EDATE(AB71,3)+15)),"Аукцион короче 3 месяцев и 15 дней",""))="","",TEXTJOIN(", ",TRUE,IF(B71="","Название",""),IF(C71="","Тип недвижимости",""),IF(D71="","Страна",""),IF(E71="","Город",""),IF(F71="","Улица",""),IF(I71="","Валюта",""),IF(OR(AI71="",AI71&lt;1),"Хотя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земли",""),IF(W71="","Формат долга",""),IF(OR(X71="",X71&lt;=0),"Сумма долга",""),IF(AND(W71="Долги + Аукцион",OR(Y71="",Y71&lt;=0)),"Продать сейчас",""),IF(AND(W71="Долги + Аукцион",OR(Z71="",Z71&lt;=0)),"Минимальная цена продажи",""),IF(AND(W71="Долги + Аукцион",OR(AA71="",AA71&lt;=0)),"Стартовая ставка",""),IF(AND(W71="Долги + Аукцион",AB71=""),"Начало аукциона",""),IF(AND(W71="Долги + Аукцион",AC71=""),"Окончание аукциона",""),IF(AND(W71="Долги + Аукцион",AND(Y71&lt;&gt;"",Z71&lt;&gt;"",Z71&gt;Y71)),"Минимальная цена выше «Продать сейчас»",""),IF(AND(W71="Долги + Аукцион",AND(Y71&lt;&gt;"",Z71&lt;&gt;"",Z71&lt;=Y71,Z71&gt;Y71*0.9)),"Минимальная цена выше 90% от «Продать сейчас»",""),IF(AND(W71="Долги + Аукцион",AND(Y71&lt;&gt;"",AA71&lt;&gt;"",AA71&gt;Y71*0.3)),"Стартовая ставка выше 30% от «Продать сейчас»",""),IF(AND(W71="Долги + Аукцион",AND(AB71&lt;&gt;"",AC71&lt;&gt;"",AC71&lt;EDATE(AB71,3)+15)),"Аукцион короче 3 месяцев и 15 дней",""))))</f>
        <v/>
      </c>
      <c r="AP71" s="35">
        <f>IF(NOT(COUNTA(A71:AN71)&gt;0),"",IF(TEXTJOIN(", ",TRUE,IF(AL71="","Описание",""),IF(AND(AI71&lt;&gt;"",AI71&gt;=1,AI71&lt;5),"Фото меньше 5",""),IF(AK71="","Видео",""),IF(H71="","Кадастровый номер",""),IF(AJ71="","Ссылка на фото",""),IF(OR(AD71="",AD71="Нет"),"Кредитный договор",""),IF(OR(AE71="",AE71="Нет"),"Нотариальная закладная",""),IF(OR(AF71="",AF71="Нет"),"Выписка из реестра",""),IF(OR(AG71="",AG71="Нет"),"Оценка объекта",""),IF(AH71="","Статус в суде",""))="","",TEXTJOIN(", ",TRUE,IF(AL71="","Описание",""),IF(AND(AI71&lt;&gt;"",AI71&gt;=1,AI71&lt;5),"Фото меньше 5",""),IF(AK71="","Видео",""),IF(H71="","Кадастровый номер",""),IF(AJ71="","Ссылка на фото",""),IF(OR(AD71="",AD71="Нет"),"Кредитный договор",""),IF(OR(AE71="",AE71="Нет"),"Нотариальная закладная",""),IF(OR(AF71="",AF71="Нет"),"Выписка из реестра",""),IF(OR(AG71="",AG71="Нет"),"Оценка объекта",""),IF(AH71="","Статус в суде",""))))</f>
        <v/>
      </c>
      <c r="AQ71" s="35">
        <f>IF(NOT(COUNTA(A71:AN71)&gt;0),"",IF(AO71="","Можно публиковать","Не хватает"))</f>
        <v/>
      </c>
    </row>
    <row r="72" ht="22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7" t="n"/>
      <c r="K72" s="37" t="n"/>
      <c r="L72" s="37" t="n"/>
      <c r="M72" s="38" t="n"/>
      <c r="N72" s="38" t="n"/>
      <c r="O72" s="38" t="n"/>
      <c r="P72" s="38" t="n"/>
      <c r="Q72" s="38" t="n"/>
      <c r="R72" s="38" t="n"/>
      <c r="S72" s="36" t="n"/>
      <c r="T72" s="36" t="n"/>
      <c r="U72" s="36" t="n"/>
      <c r="V72" s="36" t="n"/>
      <c r="W72" s="36" t="n"/>
      <c r="X72" s="39" t="n"/>
      <c r="Y72" s="39" t="n"/>
      <c r="Z72" s="39" t="n"/>
      <c r="AA72" s="39" t="n"/>
      <c r="AB72" s="40" t="n"/>
      <c r="AC72" s="40" t="n"/>
      <c r="AD72" s="36" t="n"/>
      <c r="AE72" s="36" t="n"/>
      <c r="AF72" s="36" t="n"/>
      <c r="AG72" s="36" t="n"/>
      <c r="AH72" s="36" t="n"/>
      <c r="AI72" s="38" t="n"/>
      <c r="AJ72" s="36" t="n"/>
      <c r="AK72" s="36" t="n"/>
      <c r="AL72" s="36" t="n"/>
      <c r="AM72" s="36" t="n"/>
      <c r="AN72" s="36" t="n"/>
      <c r="AO72" s="35">
        <f>IF(NOT(COUNTA(A72:AN72)&gt;0),"",IF(TEXTJOIN(", ",TRUE,IF(B72="","Название",""),IF(C72="","Тип недвижимости",""),IF(D72="","Страна",""),IF(E72="","Город",""),IF(F72="","Улица",""),IF(I72="","Валюта",""),IF(OR(AI72="",AI72&lt;1),"Хотя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земли",""),IF(W72="","Формат долга",""),IF(OR(X72="",X72&lt;=0),"Сумма долга",""),IF(AND(W72="Долги + Аукцион",OR(Y72="",Y72&lt;=0)),"Продать сейчас",""),IF(AND(W72="Долги + Аукцион",OR(Z72="",Z72&lt;=0)),"Минимальная цена продажи",""),IF(AND(W72="Долги + Аукцион",OR(AA72="",AA72&lt;=0)),"Стартовая ставка",""),IF(AND(W72="Долги + Аукцион",AB72=""),"Начало аукциона",""),IF(AND(W72="Долги + Аукцион",AC72=""),"Окончание аукциона",""),IF(AND(W72="Долги + Аукцион",AND(Y72&lt;&gt;"",Z72&lt;&gt;"",Z72&gt;Y72)),"Минимальная цена выше «Продать сейчас»",""),IF(AND(W72="Долги + Аукцион",AND(Y72&lt;&gt;"",Z72&lt;&gt;"",Z72&lt;=Y72,Z72&gt;Y72*0.9)),"Минимальная цена выше 90% от «Продать сейчас»",""),IF(AND(W72="Долги + Аукцион",AND(Y72&lt;&gt;"",AA72&lt;&gt;"",AA72&gt;Y72*0.3)),"Стартовая ставка выше 30% от «Продать сейчас»",""),IF(AND(W72="Долги + Аукцион",AND(AB72&lt;&gt;"",AC72&lt;&gt;"",AC72&lt;EDATE(AB72,3)+15)),"Аукцион короче 3 месяцев и 15 дней",""))="","",TEXTJOIN(", ",TRUE,IF(B72="","Название",""),IF(C72="","Тип недвижимости",""),IF(D72="","Страна",""),IF(E72="","Город",""),IF(F72="","Улица",""),IF(I72="","Валюта",""),IF(OR(AI72="",AI72&lt;1),"Хотя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земли",""),IF(W72="","Формат долга",""),IF(OR(X72="",X72&lt;=0),"Сумма долга",""),IF(AND(W72="Долги + Аукцион",OR(Y72="",Y72&lt;=0)),"Продать сейчас",""),IF(AND(W72="Долги + Аукцион",OR(Z72="",Z72&lt;=0)),"Минимальная цена продажи",""),IF(AND(W72="Долги + Аукцион",OR(AA72="",AA72&lt;=0)),"Стартовая ставка",""),IF(AND(W72="Долги + Аукцион",AB72=""),"Начало аукциона",""),IF(AND(W72="Долги + Аукцион",AC72=""),"Окончание аукциона",""),IF(AND(W72="Долги + Аукцион",AND(Y72&lt;&gt;"",Z72&lt;&gt;"",Z72&gt;Y72)),"Минимальная цена выше «Продать сейчас»",""),IF(AND(W72="Долги + Аукцион",AND(Y72&lt;&gt;"",Z72&lt;&gt;"",Z72&lt;=Y72,Z72&gt;Y72*0.9)),"Минимальная цена выше 90% от «Продать сейчас»",""),IF(AND(W72="Долги + Аукцион",AND(Y72&lt;&gt;"",AA72&lt;&gt;"",AA72&gt;Y72*0.3)),"Стартовая ставка выше 30% от «Продать сейчас»",""),IF(AND(W72="Долги + Аукцион",AND(AB72&lt;&gt;"",AC72&lt;&gt;"",AC72&lt;EDATE(AB72,3)+15)),"Аукцион короче 3 месяцев и 15 дней",""))))</f>
        <v/>
      </c>
      <c r="AP72" s="35">
        <f>IF(NOT(COUNTA(A72:AN72)&gt;0),"",IF(TEXTJOIN(", ",TRUE,IF(AL72="","Описание",""),IF(AND(AI72&lt;&gt;"",AI72&gt;=1,AI72&lt;5),"Фото меньше 5",""),IF(AK72="","Видео",""),IF(H72="","Кадастровый номер",""),IF(AJ72="","Ссылка на фото",""),IF(OR(AD72="",AD72="Нет"),"Кредитный договор",""),IF(OR(AE72="",AE72="Нет"),"Нотариальная закладная",""),IF(OR(AF72="",AF72="Нет"),"Выписка из реестра",""),IF(OR(AG72="",AG72="Нет"),"Оценка объекта",""),IF(AH72="","Статус в суде",""))="","",TEXTJOIN(", ",TRUE,IF(AL72="","Описание",""),IF(AND(AI72&lt;&gt;"",AI72&gt;=1,AI72&lt;5),"Фото меньше 5",""),IF(AK72="","Видео",""),IF(H72="","Кадастровый номер",""),IF(AJ72="","Ссылка на фото",""),IF(OR(AD72="",AD72="Нет"),"Кредитный договор",""),IF(OR(AE72="",AE72="Нет"),"Нотариальная закладная",""),IF(OR(AF72="",AF72="Нет"),"Выписка из реестра",""),IF(OR(AG72="",AG72="Нет"),"Оценка объекта",""),IF(AH72="","Статус в суде",""))))</f>
        <v/>
      </c>
      <c r="AQ72" s="35">
        <f>IF(NOT(COUNTA(A72:AN72)&gt;0),"",IF(AO72="","Можно публиковать","Не хватает"))</f>
        <v/>
      </c>
    </row>
    <row r="73" ht="22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 t="n"/>
      <c r="K73" s="31" t="n"/>
      <c r="L73" s="31" t="n"/>
      <c r="M73" s="32" t="n"/>
      <c r="N73" s="32" t="n"/>
      <c r="O73" s="32" t="n"/>
      <c r="P73" s="32" t="n"/>
      <c r="Q73" s="32" t="n"/>
      <c r="R73" s="32" t="n"/>
      <c r="S73" s="30" t="n"/>
      <c r="T73" s="30" t="n"/>
      <c r="U73" s="30" t="n"/>
      <c r="V73" s="30" t="n"/>
      <c r="W73" s="30" t="n"/>
      <c r="X73" s="33" t="n"/>
      <c r="Y73" s="33" t="n"/>
      <c r="Z73" s="33" t="n"/>
      <c r="AA73" s="33" t="n"/>
      <c r="AB73" s="34" t="n"/>
      <c r="AC73" s="34" t="n"/>
      <c r="AD73" s="30" t="n"/>
      <c r="AE73" s="30" t="n"/>
      <c r="AF73" s="30" t="n"/>
      <c r="AG73" s="30" t="n"/>
      <c r="AH73" s="30" t="n"/>
      <c r="AI73" s="32" t="n"/>
      <c r="AJ73" s="30" t="n"/>
      <c r="AK73" s="30" t="n"/>
      <c r="AL73" s="30" t="n"/>
      <c r="AM73" s="30" t="n"/>
      <c r="AN73" s="30" t="n"/>
      <c r="AO73" s="35">
        <f>IF(NOT(COUNTA(A73:AN73)&gt;0),"",IF(TEXTJOIN(", ",TRUE,IF(B73="","Название",""),IF(C73="","Тип недвижимости",""),IF(D73="","Страна",""),IF(E73="","Город",""),IF(F73="","Улица",""),IF(I73="","Валюта",""),IF(OR(AI73="",AI73&lt;1),"Хотя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земли",""),IF(W73="","Формат долга",""),IF(OR(X73="",X73&lt;=0),"Сумма долга",""),IF(AND(W73="Долги + Аукцион",OR(Y73="",Y73&lt;=0)),"Продать сейчас",""),IF(AND(W73="Долги + Аукцион",OR(Z73="",Z73&lt;=0)),"Минимальная цена продажи",""),IF(AND(W73="Долги + Аукцион",OR(AA73="",AA73&lt;=0)),"Стартовая ставка",""),IF(AND(W73="Долги + Аукцион",AB73=""),"Начало аукциона",""),IF(AND(W73="Долги + Аукцион",AC73=""),"Окончание аукциона",""),IF(AND(W73="Долги + Аукцион",AND(Y73&lt;&gt;"",Z73&lt;&gt;"",Z73&gt;Y73)),"Минимальная цена выше «Продать сейчас»",""),IF(AND(W73="Долги + Аукцион",AND(Y73&lt;&gt;"",Z73&lt;&gt;"",Z73&lt;=Y73,Z73&gt;Y73*0.9)),"Минимальная цена выше 90% от «Продать сейчас»",""),IF(AND(W73="Долги + Аукцион",AND(Y73&lt;&gt;"",AA73&lt;&gt;"",AA73&gt;Y73*0.3)),"Стартовая ставка выше 30% от «Продать сейчас»",""),IF(AND(W73="Долги + Аукцион",AND(AB73&lt;&gt;"",AC73&lt;&gt;"",AC73&lt;EDATE(AB73,3)+15)),"Аукцион короче 3 месяцев и 15 дней",""))="","",TEXTJOIN(", ",TRUE,IF(B73="","Название",""),IF(C73="","Тип недвижимости",""),IF(D73="","Страна",""),IF(E73="","Город",""),IF(F73="","Улица",""),IF(I73="","Валюта",""),IF(OR(AI73="",AI73&lt;1),"Хотя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земли",""),IF(W73="","Формат долга",""),IF(OR(X73="",X73&lt;=0),"Сумма долга",""),IF(AND(W73="Долги + Аукцион",OR(Y73="",Y73&lt;=0)),"Продать сейчас",""),IF(AND(W73="Долги + Аукцион",OR(Z73="",Z73&lt;=0)),"Минимальная цена продажи",""),IF(AND(W73="Долги + Аукцион",OR(AA73="",AA73&lt;=0)),"Стартовая ставка",""),IF(AND(W73="Долги + Аукцион",AB73=""),"Начало аукциона",""),IF(AND(W73="Долги + Аукцион",AC73=""),"Окончание аукциона",""),IF(AND(W73="Долги + Аукцион",AND(Y73&lt;&gt;"",Z73&lt;&gt;"",Z73&gt;Y73)),"Минимальная цена выше «Продать сейчас»",""),IF(AND(W73="Долги + Аукцион",AND(Y73&lt;&gt;"",Z73&lt;&gt;"",Z73&lt;=Y73,Z73&gt;Y73*0.9)),"Минимальная цена выше 90% от «Продать сейчас»",""),IF(AND(W73="Долги + Аукцион",AND(Y73&lt;&gt;"",AA73&lt;&gt;"",AA73&gt;Y73*0.3)),"Стартовая ставка выше 30% от «Продать сейчас»",""),IF(AND(W73="Долги + Аукцион",AND(AB73&lt;&gt;"",AC73&lt;&gt;"",AC73&lt;EDATE(AB73,3)+15)),"Аукцион короче 3 месяцев и 15 дней",""))))</f>
        <v/>
      </c>
      <c r="AP73" s="35">
        <f>IF(NOT(COUNTA(A73:AN73)&gt;0),"",IF(TEXTJOIN(", ",TRUE,IF(AL73="","Описание",""),IF(AND(AI73&lt;&gt;"",AI73&gt;=1,AI73&lt;5),"Фото меньше 5",""),IF(AK73="","Видео",""),IF(H73="","Кадастровый номер",""),IF(AJ73="","Ссылка на фото",""),IF(OR(AD73="",AD73="Нет"),"Кредитный договор",""),IF(OR(AE73="",AE73="Нет"),"Нотариальная закладная",""),IF(OR(AF73="",AF73="Нет"),"Выписка из реестра",""),IF(OR(AG73="",AG73="Нет"),"Оценка объекта",""),IF(AH73="","Статус в суде",""))="","",TEXTJOIN(", ",TRUE,IF(AL73="","Описание",""),IF(AND(AI73&lt;&gt;"",AI73&gt;=1,AI73&lt;5),"Фото меньше 5",""),IF(AK73="","Видео",""),IF(H73="","Кадастровый номер",""),IF(AJ73="","Ссылка на фото",""),IF(OR(AD73="",AD73="Нет"),"Кредитный договор",""),IF(OR(AE73="",AE73="Нет"),"Нотариальная закладная",""),IF(OR(AF73="",AF73="Нет"),"Выписка из реестра",""),IF(OR(AG73="",AG73="Нет"),"Оценка объекта",""),IF(AH73="","Статус в суде",""))))</f>
        <v/>
      </c>
      <c r="AQ73" s="35">
        <f>IF(NOT(COUNTA(A73:AN73)&gt;0),"",IF(AO73="","Можно публиковать","Не хватает"))</f>
        <v/>
      </c>
    </row>
    <row r="74" ht="22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7" t="n"/>
      <c r="K74" s="37" t="n"/>
      <c r="L74" s="37" t="n"/>
      <c r="M74" s="38" t="n"/>
      <c r="N74" s="38" t="n"/>
      <c r="O74" s="38" t="n"/>
      <c r="P74" s="38" t="n"/>
      <c r="Q74" s="38" t="n"/>
      <c r="R74" s="38" t="n"/>
      <c r="S74" s="36" t="n"/>
      <c r="T74" s="36" t="n"/>
      <c r="U74" s="36" t="n"/>
      <c r="V74" s="36" t="n"/>
      <c r="W74" s="36" t="n"/>
      <c r="X74" s="39" t="n"/>
      <c r="Y74" s="39" t="n"/>
      <c r="Z74" s="39" t="n"/>
      <c r="AA74" s="39" t="n"/>
      <c r="AB74" s="40" t="n"/>
      <c r="AC74" s="40" t="n"/>
      <c r="AD74" s="36" t="n"/>
      <c r="AE74" s="36" t="n"/>
      <c r="AF74" s="36" t="n"/>
      <c r="AG74" s="36" t="n"/>
      <c r="AH74" s="36" t="n"/>
      <c r="AI74" s="38" t="n"/>
      <c r="AJ74" s="36" t="n"/>
      <c r="AK74" s="36" t="n"/>
      <c r="AL74" s="36" t="n"/>
      <c r="AM74" s="36" t="n"/>
      <c r="AN74" s="36" t="n"/>
      <c r="AO74" s="35">
        <f>IF(NOT(COUNTA(A74:AN74)&gt;0),"",IF(TEXTJOIN(", ",TRUE,IF(B74="","Название",""),IF(C74="","Тип недвижимости",""),IF(D74="","Страна",""),IF(E74="","Город",""),IF(F74="","Улица",""),IF(I74="","Валюта",""),IF(OR(AI74="",AI74&lt;1),"Хотя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земли",""),IF(W74="","Формат долга",""),IF(OR(X74="",X74&lt;=0),"Сумма долга",""),IF(AND(W74="Долги + Аукцион",OR(Y74="",Y74&lt;=0)),"Продать сейчас",""),IF(AND(W74="Долги + Аукцион",OR(Z74="",Z74&lt;=0)),"Минимальная цена продажи",""),IF(AND(W74="Долги + Аукцион",OR(AA74="",AA74&lt;=0)),"Стартовая ставка",""),IF(AND(W74="Долги + Аукцион",AB74=""),"Начало аукциона",""),IF(AND(W74="Долги + Аукцион",AC74=""),"Окончание аукциона",""),IF(AND(W74="Долги + Аукцион",AND(Y74&lt;&gt;"",Z74&lt;&gt;"",Z74&gt;Y74)),"Минимальная цена выше «Продать сейчас»",""),IF(AND(W74="Долги + Аукцион",AND(Y74&lt;&gt;"",Z74&lt;&gt;"",Z74&lt;=Y74,Z74&gt;Y74*0.9)),"Минимальная цена выше 90% от «Продать сейчас»",""),IF(AND(W74="Долги + Аукцион",AND(Y74&lt;&gt;"",AA74&lt;&gt;"",AA74&gt;Y74*0.3)),"Стартовая ставка выше 30% от «Продать сейчас»",""),IF(AND(W74="Долги + Аукцион",AND(AB74&lt;&gt;"",AC74&lt;&gt;"",AC74&lt;EDATE(AB74,3)+15)),"Аукцион короче 3 месяцев и 15 дней",""))="","",TEXTJOIN(", ",TRUE,IF(B74="","Название",""),IF(C74="","Тип недвижимости",""),IF(D74="","Страна",""),IF(E74="","Город",""),IF(F74="","Улица",""),IF(I74="","Валюта",""),IF(OR(AI74="",AI74&lt;1),"Хотя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земли",""),IF(W74="","Формат долга",""),IF(OR(X74="",X74&lt;=0),"Сумма долга",""),IF(AND(W74="Долги + Аукцион",OR(Y74="",Y74&lt;=0)),"Продать сейчас",""),IF(AND(W74="Долги + Аукцион",OR(Z74="",Z74&lt;=0)),"Минимальная цена продажи",""),IF(AND(W74="Долги + Аукцион",OR(AA74="",AA74&lt;=0)),"Стартовая ставка",""),IF(AND(W74="Долги + Аукцион",AB74=""),"Начало аукциона",""),IF(AND(W74="Долги + Аукцион",AC74=""),"Окончание аукциона",""),IF(AND(W74="Долги + Аукцион",AND(Y74&lt;&gt;"",Z74&lt;&gt;"",Z74&gt;Y74)),"Минимальная цена выше «Продать сейчас»",""),IF(AND(W74="Долги + Аукцион",AND(Y74&lt;&gt;"",Z74&lt;&gt;"",Z74&lt;=Y74,Z74&gt;Y74*0.9)),"Минимальная цена выше 90% от «Продать сейчас»",""),IF(AND(W74="Долги + Аукцион",AND(Y74&lt;&gt;"",AA74&lt;&gt;"",AA74&gt;Y74*0.3)),"Стартовая ставка выше 30% от «Продать сейчас»",""),IF(AND(W74="Долги + Аукцион",AND(AB74&lt;&gt;"",AC74&lt;&gt;"",AC74&lt;EDATE(AB74,3)+15)),"Аукцион короче 3 месяцев и 15 дней",""))))</f>
        <v/>
      </c>
      <c r="AP74" s="35">
        <f>IF(NOT(COUNTA(A74:AN74)&gt;0),"",IF(TEXTJOIN(", ",TRUE,IF(AL74="","Описание",""),IF(AND(AI74&lt;&gt;"",AI74&gt;=1,AI74&lt;5),"Фото меньше 5",""),IF(AK74="","Видео",""),IF(H74="","Кадастровый номер",""),IF(AJ74="","Ссылка на фото",""),IF(OR(AD74="",AD74="Нет"),"Кредитный договор",""),IF(OR(AE74="",AE74="Нет"),"Нотариальная закладная",""),IF(OR(AF74="",AF74="Нет"),"Выписка из реестра",""),IF(OR(AG74="",AG74="Нет"),"Оценка объекта",""),IF(AH74="","Статус в суде",""))="","",TEXTJOIN(", ",TRUE,IF(AL74="","Описание",""),IF(AND(AI74&lt;&gt;"",AI74&gt;=1,AI74&lt;5),"Фото меньше 5",""),IF(AK74="","Видео",""),IF(H74="","Кадастровый номер",""),IF(AJ74="","Ссылка на фото",""),IF(OR(AD74="",AD74="Нет"),"Кредитный договор",""),IF(OR(AE74="",AE74="Нет"),"Нотариальная закладная",""),IF(OR(AF74="",AF74="Нет"),"Выписка из реестра",""),IF(OR(AG74="",AG74="Нет"),"Оценка объекта",""),IF(AH74="","Статус в суде",""))))</f>
        <v/>
      </c>
      <c r="AQ74" s="35">
        <f>IF(NOT(COUNTA(A74:AN74)&gt;0),"",IF(AO74="","Можно публиковать","Не хватает"))</f>
        <v/>
      </c>
    </row>
    <row r="75" ht="22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 t="n"/>
      <c r="K75" s="31" t="n"/>
      <c r="L75" s="31" t="n"/>
      <c r="M75" s="32" t="n"/>
      <c r="N75" s="32" t="n"/>
      <c r="O75" s="32" t="n"/>
      <c r="P75" s="32" t="n"/>
      <c r="Q75" s="32" t="n"/>
      <c r="R75" s="32" t="n"/>
      <c r="S75" s="30" t="n"/>
      <c r="T75" s="30" t="n"/>
      <c r="U75" s="30" t="n"/>
      <c r="V75" s="30" t="n"/>
      <c r="W75" s="30" t="n"/>
      <c r="X75" s="33" t="n"/>
      <c r="Y75" s="33" t="n"/>
      <c r="Z75" s="33" t="n"/>
      <c r="AA75" s="33" t="n"/>
      <c r="AB75" s="34" t="n"/>
      <c r="AC75" s="34" t="n"/>
      <c r="AD75" s="30" t="n"/>
      <c r="AE75" s="30" t="n"/>
      <c r="AF75" s="30" t="n"/>
      <c r="AG75" s="30" t="n"/>
      <c r="AH75" s="30" t="n"/>
      <c r="AI75" s="32" t="n"/>
      <c r="AJ75" s="30" t="n"/>
      <c r="AK75" s="30" t="n"/>
      <c r="AL75" s="30" t="n"/>
      <c r="AM75" s="30" t="n"/>
      <c r="AN75" s="30" t="n"/>
      <c r="AO75" s="35">
        <f>IF(NOT(COUNTA(A75:AN75)&gt;0),"",IF(TEXTJOIN(", ",TRUE,IF(B75="","Название",""),IF(C75="","Тип недвижимости",""),IF(D75="","Страна",""),IF(E75="","Город",""),IF(F75="","Улица",""),IF(I75="","Валюта",""),IF(OR(AI75="",AI75&lt;1),"Хотя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земли",""),IF(W75="","Формат долга",""),IF(OR(X75="",X75&lt;=0),"Сумма долга",""),IF(AND(W75="Долги + Аукцион",OR(Y75="",Y75&lt;=0)),"Продать сейчас",""),IF(AND(W75="Долги + Аукцион",OR(Z75="",Z75&lt;=0)),"Минимальная цена продажи",""),IF(AND(W75="Долги + Аукцион",OR(AA75="",AA75&lt;=0)),"Стартовая ставка",""),IF(AND(W75="Долги + Аукцион",AB75=""),"Начало аукциона",""),IF(AND(W75="Долги + Аукцион",AC75=""),"Окончание аукциона",""),IF(AND(W75="Долги + Аукцион",AND(Y75&lt;&gt;"",Z75&lt;&gt;"",Z75&gt;Y75)),"Минимальная цена выше «Продать сейчас»",""),IF(AND(W75="Долги + Аукцион",AND(Y75&lt;&gt;"",Z75&lt;&gt;"",Z75&lt;=Y75,Z75&gt;Y75*0.9)),"Минимальная цена выше 90% от «Продать сейчас»",""),IF(AND(W75="Долги + Аукцион",AND(Y75&lt;&gt;"",AA75&lt;&gt;"",AA75&gt;Y75*0.3)),"Стартовая ставка выше 30% от «Продать сейчас»",""),IF(AND(W75="Долги + Аукцион",AND(AB75&lt;&gt;"",AC75&lt;&gt;"",AC75&lt;EDATE(AB75,3)+15)),"Аукцион короче 3 месяцев и 15 дней",""))="","",TEXTJOIN(", ",TRUE,IF(B75="","Название",""),IF(C75="","Тип недвижимости",""),IF(D75="","Страна",""),IF(E75="","Город",""),IF(F75="","Улица",""),IF(I75="","Валюта",""),IF(OR(AI75="",AI75&lt;1),"Хотя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земли",""),IF(W75="","Формат долга",""),IF(OR(X75="",X75&lt;=0),"Сумма долга",""),IF(AND(W75="Долги + Аукцион",OR(Y75="",Y75&lt;=0)),"Продать сейчас",""),IF(AND(W75="Долги + Аукцион",OR(Z75="",Z75&lt;=0)),"Минимальная цена продажи",""),IF(AND(W75="Долги + Аукцион",OR(AA75="",AA75&lt;=0)),"Стартовая ставка",""),IF(AND(W75="Долги + Аукцион",AB75=""),"Начало аукциона",""),IF(AND(W75="Долги + Аукцион",AC75=""),"Окончание аукциона",""),IF(AND(W75="Долги + Аукцион",AND(Y75&lt;&gt;"",Z75&lt;&gt;"",Z75&gt;Y75)),"Минимальная цена выше «Продать сейчас»",""),IF(AND(W75="Долги + Аукцион",AND(Y75&lt;&gt;"",Z75&lt;&gt;"",Z75&lt;=Y75,Z75&gt;Y75*0.9)),"Минимальная цена выше 90% от «Продать сейчас»",""),IF(AND(W75="Долги + Аукцион",AND(Y75&lt;&gt;"",AA75&lt;&gt;"",AA75&gt;Y75*0.3)),"Стартовая ставка выше 30% от «Продать сейчас»",""),IF(AND(W75="Долги + Аукцион",AND(AB75&lt;&gt;"",AC75&lt;&gt;"",AC75&lt;EDATE(AB75,3)+15)),"Аукцион короче 3 месяцев и 15 дней",""))))</f>
        <v/>
      </c>
      <c r="AP75" s="35">
        <f>IF(NOT(COUNTA(A75:AN75)&gt;0),"",IF(TEXTJOIN(", ",TRUE,IF(AL75="","Описание",""),IF(AND(AI75&lt;&gt;"",AI75&gt;=1,AI75&lt;5),"Фото меньше 5",""),IF(AK75="","Видео",""),IF(H75="","Кадастровый номер",""),IF(AJ75="","Ссылка на фото",""),IF(OR(AD75="",AD75="Нет"),"Кредитный договор",""),IF(OR(AE75="",AE75="Нет"),"Нотариальная закладная",""),IF(OR(AF75="",AF75="Нет"),"Выписка из реестра",""),IF(OR(AG75="",AG75="Нет"),"Оценка объекта",""),IF(AH75="","Статус в суде",""))="","",TEXTJOIN(", ",TRUE,IF(AL75="","Описание",""),IF(AND(AI75&lt;&gt;"",AI75&gt;=1,AI75&lt;5),"Фото меньше 5",""),IF(AK75="","Видео",""),IF(H75="","Кадастровый номер",""),IF(AJ75="","Ссылка на фото",""),IF(OR(AD75="",AD75="Нет"),"Кредитный договор",""),IF(OR(AE75="",AE75="Нет"),"Нотариальная закладная",""),IF(OR(AF75="",AF75="Нет"),"Выписка из реестра",""),IF(OR(AG75="",AG75="Нет"),"Оценка объекта",""),IF(AH75="","Статус в суде",""))))</f>
        <v/>
      </c>
      <c r="AQ75" s="35">
        <f>IF(NOT(COUNTA(A75:AN75)&gt;0),"",IF(AO75="","Можно публиковать","Не хватает"))</f>
        <v/>
      </c>
    </row>
    <row r="76" ht="22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7" t="n"/>
      <c r="K76" s="37" t="n"/>
      <c r="L76" s="37" t="n"/>
      <c r="M76" s="38" t="n"/>
      <c r="N76" s="38" t="n"/>
      <c r="O76" s="38" t="n"/>
      <c r="P76" s="38" t="n"/>
      <c r="Q76" s="38" t="n"/>
      <c r="R76" s="38" t="n"/>
      <c r="S76" s="36" t="n"/>
      <c r="T76" s="36" t="n"/>
      <c r="U76" s="36" t="n"/>
      <c r="V76" s="36" t="n"/>
      <c r="W76" s="36" t="n"/>
      <c r="X76" s="39" t="n"/>
      <c r="Y76" s="39" t="n"/>
      <c r="Z76" s="39" t="n"/>
      <c r="AA76" s="39" t="n"/>
      <c r="AB76" s="40" t="n"/>
      <c r="AC76" s="40" t="n"/>
      <c r="AD76" s="36" t="n"/>
      <c r="AE76" s="36" t="n"/>
      <c r="AF76" s="36" t="n"/>
      <c r="AG76" s="36" t="n"/>
      <c r="AH76" s="36" t="n"/>
      <c r="AI76" s="38" t="n"/>
      <c r="AJ76" s="36" t="n"/>
      <c r="AK76" s="36" t="n"/>
      <c r="AL76" s="36" t="n"/>
      <c r="AM76" s="36" t="n"/>
      <c r="AN76" s="36" t="n"/>
      <c r="AO76" s="35">
        <f>IF(NOT(COUNTA(A76:AN76)&gt;0),"",IF(TEXTJOIN(", ",TRUE,IF(B76="","Название",""),IF(C76="","Тип недвижимости",""),IF(D76="","Страна",""),IF(E76="","Город",""),IF(F76="","Улица",""),IF(I76="","Валюта",""),IF(OR(AI76="",AI76&lt;1),"Хотя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земли",""),IF(W76="","Формат долга",""),IF(OR(X76="",X76&lt;=0),"Сумма долга",""),IF(AND(W76="Долги + Аукцион",OR(Y76="",Y76&lt;=0)),"Продать сейчас",""),IF(AND(W76="Долги + Аукцион",OR(Z76="",Z76&lt;=0)),"Минимальная цена продажи",""),IF(AND(W76="Долги + Аукцион",OR(AA76="",AA76&lt;=0)),"Стартовая ставка",""),IF(AND(W76="Долги + Аукцион",AB76=""),"Начало аукциона",""),IF(AND(W76="Долги + Аукцион",AC76=""),"Окончание аукциона",""),IF(AND(W76="Долги + Аукцион",AND(Y76&lt;&gt;"",Z76&lt;&gt;"",Z76&gt;Y76)),"Минимальная цена выше «Продать сейчас»",""),IF(AND(W76="Долги + Аукцион",AND(Y76&lt;&gt;"",Z76&lt;&gt;"",Z76&lt;=Y76,Z76&gt;Y76*0.9)),"Минимальная цена выше 90% от «Продать сейчас»",""),IF(AND(W76="Долги + Аукцион",AND(Y76&lt;&gt;"",AA76&lt;&gt;"",AA76&gt;Y76*0.3)),"Стартовая ставка выше 30% от «Продать сейчас»",""),IF(AND(W76="Долги + Аукцион",AND(AB76&lt;&gt;"",AC76&lt;&gt;"",AC76&lt;EDATE(AB76,3)+15)),"Аукцион короче 3 месяцев и 15 дней",""))="","",TEXTJOIN(", ",TRUE,IF(B76="","Название",""),IF(C76="","Тип недвижимости",""),IF(D76="","Страна",""),IF(E76="","Город",""),IF(F76="","Улица",""),IF(I76="","Валюта",""),IF(OR(AI76="",AI76&lt;1),"Хотя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земли",""),IF(W76="","Формат долга",""),IF(OR(X76="",X76&lt;=0),"Сумма долга",""),IF(AND(W76="Долги + Аукцион",OR(Y76="",Y76&lt;=0)),"Продать сейчас",""),IF(AND(W76="Долги + Аукцион",OR(Z76="",Z76&lt;=0)),"Минимальная цена продажи",""),IF(AND(W76="Долги + Аукцион",OR(AA76="",AA76&lt;=0)),"Стартовая ставка",""),IF(AND(W76="Долги + Аукцион",AB76=""),"Начало аукциона",""),IF(AND(W76="Долги + Аукцион",AC76=""),"Окончание аукциона",""),IF(AND(W76="Долги + Аукцион",AND(Y76&lt;&gt;"",Z76&lt;&gt;"",Z76&gt;Y76)),"Минимальная цена выше «Продать сейчас»",""),IF(AND(W76="Долги + Аукцион",AND(Y76&lt;&gt;"",Z76&lt;&gt;"",Z76&lt;=Y76,Z76&gt;Y76*0.9)),"Минимальная цена выше 90% от «Продать сейчас»",""),IF(AND(W76="Долги + Аукцион",AND(Y76&lt;&gt;"",AA76&lt;&gt;"",AA76&gt;Y76*0.3)),"Стартовая ставка выше 30% от «Продать сейчас»",""),IF(AND(W76="Долги + Аукцион",AND(AB76&lt;&gt;"",AC76&lt;&gt;"",AC76&lt;EDATE(AB76,3)+15)),"Аукцион короче 3 месяцев и 15 дней",""))))</f>
        <v/>
      </c>
      <c r="AP76" s="35">
        <f>IF(NOT(COUNTA(A76:AN76)&gt;0),"",IF(TEXTJOIN(", ",TRUE,IF(AL76="","Описание",""),IF(AND(AI76&lt;&gt;"",AI76&gt;=1,AI76&lt;5),"Фото меньше 5",""),IF(AK76="","Видео",""),IF(H76="","Кадастровый номер",""),IF(AJ76="","Ссылка на фото",""),IF(OR(AD76="",AD76="Нет"),"Кредитный договор",""),IF(OR(AE76="",AE76="Нет"),"Нотариальная закладная",""),IF(OR(AF76="",AF76="Нет"),"Выписка из реестра",""),IF(OR(AG76="",AG76="Нет"),"Оценка объекта",""),IF(AH76="","Статус в суде",""))="","",TEXTJOIN(", ",TRUE,IF(AL76="","Описание",""),IF(AND(AI76&lt;&gt;"",AI76&gt;=1,AI76&lt;5),"Фото меньше 5",""),IF(AK76="","Видео",""),IF(H76="","Кадастровый номер",""),IF(AJ76="","Ссылка на фото",""),IF(OR(AD76="",AD76="Нет"),"Кредитный договор",""),IF(OR(AE76="",AE76="Нет"),"Нотариальная закладная",""),IF(OR(AF76="",AF76="Нет"),"Выписка из реестра",""),IF(OR(AG76="",AG76="Нет"),"Оценка объекта",""),IF(AH76="","Статус в суде",""))))</f>
        <v/>
      </c>
      <c r="AQ76" s="35">
        <f>IF(NOT(COUNTA(A76:AN76)&gt;0),"",IF(AO76="","Можно публиковать","Не хватает"))</f>
        <v/>
      </c>
    </row>
    <row r="77" ht="22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 t="n"/>
      <c r="K77" s="31" t="n"/>
      <c r="L77" s="31" t="n"/>
      <c r="M77" s="32" t="n"/>
      <c r="N77" s="32" t="n"/>
      <c r="O77" s="32" t="n"/>
      <c r="P77" s="32" t="n"/>
      <c r="Q77" s="32" t="n"/>
      <c r="R77" s="32" t="n"/>
      <c r="S77" s="30" t="n"/>
      <c r="T77" s="30" t="n"/>
      <c r="U77" s="30" t="n"/>
      <c r="V77" s="30" t="n"/>
      <c r="W77" s="30" t="n"/>
      <c r="X77" s="33" t="n"/>
      <c r="Y77" s="33" t="n"/>
      <c r="Z77" s="33" t="n"/>
      <c r="AA77" s="33" t="n"/>
      <c r="AB77" s="34" t="n"/>
      <c r="AC77" s="34" t="n"/>
      <c r="AD77" s="30" t="n"/>
      <c r="AE77" s="30" t="n"/>
      <c r="AF77" s="30" t="n"/>
      <c r="AG77" s="30" t="n"/>
      <c r="AH77" s="30" t="n"/>
      <c r="AI77" s="32" t="n"/>
      <c r="AJ77" s="30" t="n"/>
      <c r="AK77" s="30" t="n"/>
      <c r="AL77" s="30" t="n"/>
      <c r="AM77" s="30" t="n"/>
      <c r="AN77" s="30" t="n"/>
      <c r="AO77" s="35">
        <f>IF(NOT(COUNTA(A77:AN77)&gt;0),"",IF(TEXTJOIN(", ",TRUE,IF(B77="","Название",""),IF(C77="","Тип недвижимости",""),IF(D77="","Страна",""),IF(E77="","Город",""),IF(F77="","Улица",""),IF(I77="","Валюта",""),IF(OR(AI77="",AI77&lt;1),"Хотя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земли",""),IF(W77="","Формат долга",""),IF(OR(X77="",X77&lt;=0),"Сумма долга",""),IF(AND(W77="Долги + Аукцион",OR(Y77="",Y77&lt;=0)),"Продать сейчас",""),IF(AND(W77="Долги + Аукцион",OR(Z77="",Z77&lt;=0)),"Минимальная цена продажи",""),IF(AND(W77="Долги + Аукцион",OR(AA77="",AA77&lt;=0)),"Стартовая ставка",""),IF(AND(W77="Долги + Аукцион",AB77=""),"Начало аукциона",""),IF(AND(W77="Долги + Аукцион",AC77=""),"Окончание аукциона",""),IF(AND(W77="Долги + Аукцион",AND(Y77&lt;&gt;"",Z77&lt;&gt;"",Z77&gt;Y77)),"Минимальная цена выше «Продать сейчас»",""),IF(AND(W77="Долги + Аукцион",AND(Y77&lt;&gt;"",Z77&lt;&gt;"",Z77&lt;=Y77,Z77&gt;Y77*0.9)),"Минимальная цена выше 90% от «Продать сейчас»",""),IF(AND(W77="Долги + Аукцион",AND(Y77&lt;&gt;"",AA77&lt;&gt;"",AA77&gt;Y77*0.3)),"Стартовая ставка выше 30% от «Продать сейчас»",""),IF(AND(W77="Долги + Аукцион",AND(AB77&lt;&gt;"",AC77&lt;&gt;"",AC77&lt;EDATE(AB77,3)+15)),"Аукцион короче 3 месяцев и 15 дней",""))="","",TEXTJOIN(", ",TRUE,IF(B77="","Название",""),IF(C77="","Тип недвижимости",""),IF(D77="","Страна",""),IF(E77="","Город",""),IF(F77="","Улица",""),IF(I77="","Валюта",""),IF(OR(AI77="",AI77&lt;1),"Хотя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земли",""),IF(W77="","Формат долга",""),IF(OR(X77="",X77&lt;=0),"Сумма долга",""),IF(AND(W77="Долги + Аукцион",OR(Y77="",Y77&lt;=0)),"Продать сейчас",""),IF(AND(W77="Долги + Аукцион",OR(Z77="",Z77&lt;=0)),"Минимальная цена продажи",""),IF(AND(W77="Долги + Аукцион",OR(AA77="",AA77&lt;=0)),"Стартовая ставка",""),IF(AND(W77="Долги + Аукцион",AB77=""),"Начало аукциона",""),IF(AND(W77="Долги + Аукцион",AC77=""),"Окончание аукциона",""),IF(AND(W77="Долги + Аукцион",AND(Y77&lt;&gt;"",Z77&lt;&gt;"",Z77&gt;Y77)),"Минимальная цена выше «Продать сейчас»",""),IF(AND(W77="Долги + Аукцион",AND(Y77&lt;&gt;"",Z77&lt;&gt;"",Z77&lt;=Y77,Z77&gt;Y77*0.9)),"Минимальная цена выше 90% от «Продать сейчас»",""),IF(AND(W77="Долги + Аукцион",AND(Y77&lt;&gt;"",AA77&lt;&gt;"",AA77&gt;Y77*0.3)),"Стартовая ставка выше 30% от «Продать сейчас»",""),IF(AND(W77="Долги + Аукцион",AND(AB77&lt;&gt;"",AC77&lt;&gt;"",AC77&lt;EDATE(AB77,3)+15)),"Аукцион короче 3 месяцев и 15 дней",""))))</f>
        <v/>
      </c>
      <c r="AP77" s="35">
        <f>IF(NOT(COUNTA(A77:AN77)&gt;0),"",IF(TEXTJOIN(", ",TRUE,IF(AL77="","Описание",""),IF(AND(AI77&lt;&gt;"",AI77&gt;=1,AI77&lt;5),"Фото меньше 5",""),IF(AK77="","Видео",""),IF(H77="","Кадастровый номер",""),IF(AJ77="","Ссылка на фото",""),IF(OR(AD77="",AD77="Нет"),"Кредитный договор",""),IF(OR(AE77="",AE77="Нет"),"Нотариальная закладная",""),IF(OR(AF77="",AF77="Нет"),"Выписка из реестра",""),IF(OR(AG77="",AG77="Нет"),"Оценка объекта",""),IF(AH77="","Статус в суде",""))="","",TEXTJOIN(", ",TRUE,IF(AL77="","Описание",""),IF(AND(AI77&lt;&gt;"",AI77&gt;=1,AI77&lt;5),"Фото меньше 5",""),IF(AK77="","Видео",""),IF(H77="","Кадастровый номер",""),IF(AJ77="","Ссылка на фото",""),IF(OR(AD77="",AD77="Нет"),"Кредитный договор",""),IF(OR(AE77="",AE77="Нет"),"Нотариальная закладная",""),IF(OR(AF77="",AF77="Нет"),"Выписка из реестра",""),IF(OR(AG77="",AG77="Нет"),"Оценка объекта",""),IF(AH77="","Статус в суде",""))))</f>
        <v/>
      </c>
      <c r="AQ77" s="35">
        <f>IF(NOT(COUNTA(A77:AN77)&gt;0),"",IF(AO77="","Можно публиковать","Не хватает"))</f>
        <v/>
      </c>
    </row>
    <row r="78" ht="22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7" t="n"/>
      <c r="K78" s="37" t="n"/>
      <c r="L78" s="37" t="n"/>
      <c r="M78" s="38" t="n"/>
      <c r="N78" s="38" t="n"/>
      <c r="O78" s="38" t="n"/>
      <c r="P78" s="38" t="n"/>
      <c r="Q78" s="38" t="n"/>
      <c r="R78" s="38" t="n"/>
      <c r="S78" s="36" t="n"/>
      <c r="T78" s="36" t="n"/>
      <c r="U78" s="36" t="n"/>
      <c r="V78" s="36" t="n"/>
      <c r="W78" s="36" t="n"/>
      <c r="X78" s="39" t="n"/>
      <c r="Y78" s="39" t="n"/>
      <c r="Z78" s="39" t="n"/>
      <c r="AA78" s="39" t="n"/>
      <c r="AB78" s="40" t="n"/>
      <c r="AC78" s="40" t="n"/>
      <c r="AD78" s="36" t="n"/>
      <c r="AE78" s="36" t="n"/>
      <c r="AF78" s="36" t="n"/>
      <c r="AG78" s="36" t="n"/>
      <c r="AH78" s="36" t="n"/>
      <c r="AI78" s="38" t="n"/>
      <c r="AJ78" s="36" t="n"/>
      <c r="AK78" s="36" t="n"/>
      <c r="AL78" s="36" t="n"/>
      <c r="AM78" s="36" t="n"/>
      <c r="AN78" s="36" t="n"/>
      <c r="AO78" s="35">
        <f>IF(NOT(COUNTA(A78:AN78)&gt;0),"",IF(TEXTJOIN(", ",TRUE,IF(B78="","Название",""),IF(C78="","Тип недвижимости",""),IF(D78="","Страна",""),IF(E78="","Город",""),IF(F78="","Улица",""),IF(I78="","Валюта",""),IF(OR(AI78="",AI78&lt;1),"Хотя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земли",""),IF(W78="","Формат долга",""),IF(OR(X78="",X78&lt;=0),"Сумма долга",""),IF(AND(W78="Долги + Аукцион",OR(Y78="",Y78&lt;=0)),"Продать сейчас",""),IF(AND(W78="Долги + Аукцион",OR(Z78="",Z78&lt;=0)),"Минимальная цена продажи",""),IF(AND(W78="Долги + Аукцион",OR(AA78="",AA78&lt;=0)),"Стартовая ставка",""),IF(AND(W78="Долги + Аукцион",AB78=""),"Начало аукциона",""),IF(AND(W78="Долги + Аукцион",AC78=""),"Окончание аукциона",""),IF(AND(W78="Долги + Аукцион",AND(Y78&lt;&gt;"",Z78&lt;&gt;"",Z78&gt;Y78)),"Минимальная цена выше «Продать сейчас»",""),IF(AND(W78="Долги + Аукцион",AND(Y78&lt;&gt;"",Z78&lt;&gt;"",Z78&lt;=Y78,Z78&gt;Y78*0.9)),"Минимальная цена выше 90% от «Продать сейчас»",""),IF(AND(W78="Долги + Аукцион",AND(Y78&lt;&gt;"",AA78&lt;&gt;"",AA78&gt;Y78*0.3)),"Стартовая ставка выше 30% от «Продать сейчас»",""),IF(AND(W78="Долги + Аукцион",AND(AB78&lt;&gt;"",AC78&lt;&gt;"",AC78&lt;EDATE(AB78,3)+15)),"Аукцион короче 3 месяцев и 15 дней",""))="","",TEXTJOIN(", ",TRUE,IF(B78="","Название",""),IF(C78="","Тип недвижимости",""),IF(D78="","Страна",""),IF(E78="","Город",""),IF(F78="","Улица",""),IF(I78="","Валюта",""),IF(OR(AI78="",AI78&lt;1),"Хотя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земли",""),IF(W78="","Формат долга",""),IF(OR(X78="",X78&lt;=0),"Сумма долга",""),IF(AND(W78="Долги + Аукцион",OR(Y78="",Y78&lt;=0)),"Продать сейчас",""),IF(AND(W78="Долги + Аукцион",OR(Z78="",Z78&lt;=0)),"Минимальная цена продажи",""),IF(AND(W78="Долги + Аукцион",OR(AA78="",AA78&lt;=0)),"Стартовая ставка",""),IF(AND(W78="Долги + Аукцион",AB78=""),"Начало аукциона",""),IF(AND(W78="Долги + Аукцион",AC78=""),"Окончание аукциона",""),IF(AND(W78="Долги + Аукцион",AND(Y78&lt;&gt;"",Z78&lt;&gt;"",Z78&gt;Y78)),"Минимальная цена выше «Продать сейчас»",""),IF(AND(W78="Долги + Аукцион",AND(Y78&lt;&gt;"",Z78&lt;&gt;"",Z78&lt;=Y78,Z78&gt;Y78*0.9)),"Минимальная цена выше 90% от «Продать сейчас»",""),IF(AND(W78="Долги + Аукцион",AND(Y78&lt;&gt;"",AA78&lt;&gt;"",AA78&gt;Y78*0.3)),"Стартовая ставка выше 30% от «Продать сейчас»",""),IF(AND(W78="Долги + Аукцион",AND(AB78&lt;&gt;"",AC78&lt;&gt;"",AC78&lt;EDATE(AB78,3)+15)),"Аукцион короче 3 месяцев и 15 дней",""))))</f>
        <v/>
      </c>
      <c r="AP78" s="35">
        <f>IF(NOT(COUNTA(A78:AN78)&gt;0),"",IF(TEXTJOIN(", ",TRUE,IF(AL78="","Описание",""),IF(AND(AI78&lt;&gt;"",AI78&gt;=1,AI78&lt;5),"Фото меньше 5",""),IF(AK78="","Видео",""),IF(H78="","Кадастровый номер",""),IF(AJ78="","Ссылка на фото",""),IF(OR(AD78="",AD78="Нет"),"Кредитный договор",""),IF(OR(AE78="",AE78="Нет"),"Нотариальная закладная",""),IF(OR(AF78="",AF78="Нет"),"Выписка из реестра",""),IF(OR(AG78="",AG78="Нет"),"Оценка объекта",""),IF(AH78="","Статус в суде",""))="","",TEXTJOIN(", ",TRUE,IF(AL78="","Описание",""),IF(AND(AI78&lt;&gt;"",AI78&gt;=1,AI78&lt;5),"Фото меньше 5",""),IF(AK78="","Видео",""),IF(H78="","Кадастровый номер",""),IF(AJ78="","Ссылка на фото",""),IF(OR(AD78="",AD78="Нет"),"Кредитный договор",""),IF(OR(AE78="",AE78="Нет"),"Нотариальная закладная",""),IF(OR(AF78="",AF78="Нет"),"Выписка из реестра",""),IF(OR(AG78="",AG78="Нет"),"Оценка объекта",""),IF(AH78="","Статус в суде",""))))</f>
        <v/>
      </c>
      <c r="AQ78" s="35">
        <f>IF(NOT(COUNTA(A78:AN78)&gt;0),"",IF(AO78="","Можно публиковать","Не хватает"))</f>
        <v/>
      </c>
    </row>
    <row r="79" ht="22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31" t="n"/>
      <c r="L79" s="31" t="n"/>
      <c r="M79" s="32" t="n"/>
      <c r="N79" s="32" t="n"/>
      <c r="O79" s="32" t="n"/>
      <c r="P79" s="32" t="n"/>
      <c r="Q79" s="32" t="n"/>
      <c r="R79" s="32" t="n"/>
      <c r="S79" s="30" t="n"/>
      <c r="T79" s="30" t="n"/>
      <c r="U79" s="30" t="n"/>
      <c r="V79" s="30" t="n"/>
      <c r="W79" s="30" t="n"/>
      <c r="X79" s="33" t="n"/>
      <c r="Y79" s="33" t="n"/>
      <c r="Z79" s="33" t="n"/>
      <c r="AA79" s="33" t="n"/>
      <c r="AB79" s="34" t="n"/>
      <c r="AC79" s="34" t="n"/>
      <c r="AD79" s="30" t="n"/>
      <c r="AE79" s="30" t="n"/>
      <c r="AF79" s="30" t="n"/>
      <c r="AG79" s="30" t="n"/>
      <c r="AH79" s="30" t="n"/>
      <c r="AI79" s="32" t="n"/>
      <c r="AJ79" s="30" t="n"/>
      <c r="AK79" s="30" t="n"/>
      <c r="AL79" s="30" t="n"/>
      <c r="AM79" s="30" t="n"/>
      <c r="AN79" s="30" t="n"/>
      <c r="AO79" s="35">
        <f>IF(NOT(COUNTA(A79:AN79)&gt;0),"",IF(TEXTJOIN(", ",TRUE,IF(B79="","Название",""),IF(C79="","Тип недвижимости",""),IF(D79="","Страна",""),IF(E79="","Город",""),IF(F79="","Улица",""),IF(I79="","Валюта",""),IF(OR(AI79="",AI79&lt;1),"Хотя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земли",""),IF(W79="","Формат долга",""),IF(OR(X79="",X79&lt;=0),"Сумма долга",""),IF(AND(W79="Долги + Аукцион",OR(Y79="",Y79&lt;=0)),"Продать сейчас",""),IF(AND(W79="Долги + Аукцион",OR(Z79="",Z79&lt;=0)),"Минимальная цена продажи",""),IF(AND(W79="Долги + Аукцион",OR(AA79="",AA79&lt;=0)),"Стартовая ставка",""),IF(AND(W79="Долги + Аукцион",AB79=""),"Начало аукциона",""),IF(AND(W79="Долги + Аукцион",AC79=""),"Окончание аукциона",""),IF(AND(W79="Долги + Аукцион",AND(Y79&lt;&gt;"",Z79&lt;&gt;"",Z79&gt;Y79)),"Минимальная цена выше «Продать сейчас»",""),IF(AND(W79="Долги + Аукцион",AND(Y79&lt;&gt;"",Z79&lt;&gt;"",Z79&lt;=Y79,Z79&gt;Y79*0.9)),"Минимальная цена выше 90% от «Продать сейчас»",""),IF(AND(W79="Долги + Аукцион",AND(Y79&lt;&gt;"",AA79&lt;&gt;"",AA79&gt;Y79*0.3)),"Стартовая ставка выше 30% от «Продать сейчас»",""),IF(AND(W79="Долги + Аукцион",AND(AB79&lt;&gt;"",AC79&lt;&gt;"",AC79&lt;EDATE(AB79,3)+15)),"Аукцион короче 3 месяцев и 15 дней",""))="","",TEXTJOIN(", ",TRUE,IF(B79="","Название",""),IF(C79="","Тип недвижимости",""),IF(D79="","Страна",""),IF(E79="","Город",""),IF(F79="","Улица",""),IF(I79="","Валюта",""),IF(OR(AI79="",AI79&lt;1),"Хотя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земли",""),IF(W79="","Формат долга",""),IF(OR(X79="",X79&lt;=0),"Сумма долга",""),IF(AND(W79="Долги + Аукцион",OR(Y79="",Y79&lt;=0)),"Продать сейчас",""),IF(AND(W79="Долги + Аукцион",OR(Z79="",Z79&lt;=0)),"Минимальная цена продажи",""),IF(AND(W79="Долги + Аукцион",OR(AA79="",AA79&lt;=0)),"Стартовая ставка",""),IF(AND(W79="Долги + Аукцион",AB79=""),"Начало аукциона",""),IF(AND(W79="Долги + Аукцион",AC79=""),"Окончание аукциона",""),IF(AND(W79="Долги + Аукцион",AND(Y79&lt;&gt;"",Z79&lt;&gt;"",Z79&gt;Y79)),"Минимальная цена выше «Продать сейчас»",""),IF(AND(W79="Долги + Аукцион",AND(Y79&lt;&gt;"",Z79&lt;&gt;"",Z79&lt;=Y79,Z79&gt;Y79*0.9)),"Минимальная цена выше 90% от «Продать сейчас»",""),IF(AND(W79="Долги + Аукцион",AND(Y79&lt;&gt;"",AA79&lt;&gt;"",AA79&gt;Y79*0.3)),"Стартовая ставка выше 30% от «Продать сейчас»",""),IF(AND(W79="Долги + Аукцион",AND(AB79&lt;&gt;"",AC79&lt;&gt;"",AC79&lt;EDATE(AB79,3)+15)),"Аукцион короче 3 месяцев и 15 дней",""))))</f>
        <v/>
      </c>
      <c r="AP79" s="35">
        <f>IF(NOT(COUNTA(A79:AN79)&gt;0),"",IF(TEXTJOIN(", ",TRUE,IF(AL79="","Описание",""),IF(AND(AI79&lt;&gt;"",AI79&gt;=1,AI79&lt;5),"Фото меньше 5",""),IF(AK79="","Видео",""),IF(H79="","Кадастровый номер",""),IF(AJ79="","Ссылка на фото",""),IF(OR(AD79="",AD79="Нет"),"Кредитный договор",""),IF(OR(AE79="",AE79="Нет"),"Нотариальная закладная",""),IF(OR(AF79="",AF79="Нет"),"Выписка из реестра",""),IF(OR(AG79="",AG79="Нет"),"Оценка объекта",""),IF(AH79="","Статус в суде",""))="","",TEXTJOIN(", ",TRUE,IF(AL79="","Описание",""),IF(AND(AI79&lt;&gt;"",AI79&gt;=1,AI79&lt;5),"Фото меньше 5",""),IF(AK79="","Видео",""),IF(H79="","Кадастровый номер",""),IF(AJ79="","Ссылка на фото",""),IF(OR(AD79="",AD79="Нет"),"Кредитный договор",""),IF(OR(AE79="",AE79="Нет"),"Нотариальная закладная",""),IF(OR(AF79="",AF79="Нет"),"Выписка из реестра",""),IF(OR(AG79="",AG79="Нет"),"Оценка объекта",""),IF(AH79="","Статус в суде",""))))</f>
        <v/>
      </c>
      <c r="AQ79" s="35">
        <f>IF(NOT(COUNTA(A79:AN79)&gt;0),"",IF(AO79="","Можно публиковать","Не хватает"))</f>
        <v/>
      </c>
    </row>
    <row r="80" ht="22" customHeight="1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7" t="n"/>
      <c r="K80" s="37" t="n"/>
      <c r="L80" s="37" t="n"/>
      <c r="M80" s="38" t="n"/>
      <c r="N80" s="38" t="n"/>
      <c r="O80" s="38" t="n"/>
      <c r="P80" s="38" t="n"/>
      <c r="Q80" s="38" t="n"/>
      <c r="R80" s="38" t="n"/>
      <c r="S80" s="36" t="n"/>
      <c r="T80" s="36" t="n"/>
      <c r="U80" s="36" t="n"/>
      <c r="V80" s="36" t="n"/>
      <c r="W80" s="36" t="n"/>
      <c r="X80" s="39" t="n"/>
      <c r="Y80" s="39" t="n"/>
      <c r="Z80" s="39" t="n"/>
      <c r="AA80" s="39" t="n"/>
      <c r="AB80" s="40" t="n"/>
      <c r="AC80" s="40" t="n"/>
      <c r="AD80" s="36" t="n"/>
      <c r="AE80" s="36" t="n"/>
      <c r="AF80" s="36" t="n"/>
      <c r="AG80" s="36" t="n"/>
      <c r="AH80" s="36" t="n"/>
      <c r="AI80" s="38" t="n"/>
      <c r="AJ80" s="36" t="n"/>
      <c r="AK80" s="36" t="n"/>
      <c r="AL80" s="36" t="n"/>
      <c r="AM80" s="36" t="n"/>
      <c r="AN80" s="36" t="n"/>
      <c r="AO80" s="35">
        <f>IF(NOT(COUNTA(A80:AN80)&gt;0),"",IF(TEXTJOIN(", ",TRUE,IF(B80="","Название",""),IF(C80="","Тип недвижимости",""),IF(D80="","Страна",""),IF(E80="","Город",""),IF(F80="","Улица",""),IF(I80="","Валюта",""),IF(OR(AI80="",AI80&lt;1),"Хотя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земли",""),IF(W80="","Формат долга",""),IF(OR(X80="",X80&lt;=0),"Сумма долга",""),IF(AND(W80="Долги + Аукцион",OR(Y80="",Y80&lt;=0)),"Продать сейчас",""),IF(AND(W80="Долги + Аукцион",OR(Z80="",Z80&lt;=0)),"Минимальная цена продажи",""),IF(AND(W80="Долги + Аукцион",OR(AA80="",AA80&lt;=0)),"Стартовая ставка",""),IF(AND(W80="Долги + Аукцион",AB80=""),"Начало аукциона",""),IF(AND(W80="Долги + Аукцион",AC80=""),"Окончание аукциона",""),IF(AND(W80="Долги + Аукцион",AND(Y80&lt;&gt;"",Z80&lt;&gt;"",Z80&gt;Y80)),"Минимальная цена выше «Продать сейчас»",""),IF(AND(W80="Долги + Аукцион",AND(Y80&lt;&gt;"",Z80&lt;&gt;"",Z80&lt;=Y80,Z80&gt;Y80*0.9)),"Минимальная цена выше 90% от «Продать сейчас»",""),IF(AND(W80="Долги + Аукцион",AND(Y80&lt;&gt;"",AA80&lt;&gt;"",AA80&gt;Y80*0.3)),"Стартовая ставка выше 30% от «Продать сейчас»",""),IF(AND(W80="Долги + Аукцион",AND(AB80&lt;&gt;"",AC80&lt;&gt;"",AC80&lt;EDATE(AB80,3)+15)),"Аукцион короче 3 месяцев и 15 дней",""))="","",TEXTJOIN(", ",TRUE,IF(B80="","Название",""),IF(C80="","Тип недвижимости",""),IF(D80="","Страна",""),IF(E80="","Город",""),IF(F80="","Улица",""),IF(I80="","Валюта",""),IF(OR(AI80="",AI80&lt;1),"Хотя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земли",""),IF(W80="","Формат долга",""),IF(OR(X80="",X80&lt;=0),"Сумма долга",""),IF(AND(W80="Долги + Аукцион",OR(Y80="",Y80&lt;=0)),"Продать сейчас",""),IF(AND(W80="Долги + Аукцион",OR(Z80="",Z80&lt;=0)),"Минимальная цена продажи",""),IF(AND(W80="Долги + Аукцион",OR(AA80="",AA80&lt;=0)),"Стартовая ставка",""),IF(AND(W80="Долги + Аукцион",AB80=""),"Начало аукциона",""),IF(AND(W80="Долги + Аукцион",AC80=""),"Окончание аукциона",""),IF(AND(W80="Долги + Аукцион",AND(Y80&lt;&gt;"",Z80&lt;&gt;"",Z80&gt;Y80)),"Минимальная цена выше «Продать сейчас»",""),IF(AND(W80="Долги + Аукцион",AND(Y80&lt;&gt;"",Z80&lt;&gt;"",Z80&lt;=Y80,Z80&gt;Y80*0.9)),"Минимальная цена выше 90% от «Продать сейчас»",""),IF(AND(W80="Долги + Аукцион",AND(Y80&lt;&gt;"",AA80&lt;&gt;"",AA80&gt;Y80*0.3)),"Стартовая ставка выше 30% от «Продать сейчас»",""),IF(AND(W80="Долги + Аукцион",AND(AB80&lt;&gt;"",AC80&lt;&gt;"",AC80&lt;EDATE(AB80,3)+15)),"Аукцион короче 3 месяцев и 15 дней",""))))</f>
        <v/>
      </c>
      <c r="AP80" s="35">
        <f>IF(NOT(COUNTA(A80:AN80)&gt;0),"",IF(TEXTJOIN(", ",TRUE,IF(AL80="","Описание",""),IF(AND(AI80&lt;&gt;"",AI80&gt;=1,AI80&lt;5),"Фото меньше 5",""),IF(AK80="","Видео",""),IF(H80="","Кадастровый номер",""),IF(AJ80="","Ссылка на фото",""),IF(OR(AD80="",AD80="Нет"),"Кредитный договор",""),IF(OR(AE80="",AE80="Нет"),"Нотариальная закладная",""),IF(OR(AF80="",AF80="Нет"),"Выписка из реестра",""),IF(OR(AG80="",AG80="Нет"),"Оценка объекта",""),IF(AH80="","Статус в суде",""))="","",TEXTJOIN(", ",TRUE,IF(AL80="","Описание",""),IF(AND(AI80&lt;&gt;"",AI80&gt;=1,AI80&lt;5),"Фото меньше 5",""),IF(AK80="","Видео",""),IF(H80="","Кадастровый номер",""),IF(AJ80="","Ссылка на фото",""),IF(OR(AD80="",AD80="Нет"),"Кредитный договор",""),IF(OR(AE80="",AE80="Нет"),"Нотариальная закладная",""),IF(OR(AF80="",AF80="Нет"),"Выписка из реестра",""),IF(OR(AG80="",AG80="Нет"),"Оценка объекта",""),IF(AH80="","Статус в суде",""))))</f>
        <v/>
      </c>
      <c r="AQ80" s="35">
        <f>IF(NOT(COUNTA(A80:AN80)&gt;0),"",IF(AO80="","Можно публиковать","Не хватает"))</f>
        <v/>
      </c>
    </row>
    <row r="81" ht="22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 t="n"/>
      <c r="K81" s="31" t="n"/>
      <c r="L81" s="31" t="n"/>
      <c r="M81" s="32" t="n"/>
      <c r="N81" s="32" t="n"/>
      <c r="O81" s="32" t="n"/>
      <c r="P81" s="32" t="n"/>
      <c r="Q81" s="32" t="n"/>
      <c r="R81" s="32" t="n"/>
      <c r="S81" s="30" t="n"/>
      <c r="T81" s="30" t="n"/>
      <c r="U81" s="30" t="n"/>
      <c r="V81" s="30" t="n"/>
      <c r="W81" s="30" t="n"/>
      <c r="X81" s="33" t="n"/>
      <c r="Y81" s="33" t="n"/>
      <c r="Z81" s="33" t="n"/>
      <c r="AA81" s="33" t="n"/>
      <c r="AB81" s="34" t="n"/>
      <c r="AC81" s="34" t="n"/>
      <c r="AD81" s="30" t="n"/>
      <c r="AE81" s="30" t="n"/>
      <c r="AF81" s="30" t="n"/>
      <c r="AG81" s="30" t="n"/>
      <c r="AH81" s="30" t="n"/>
      <c r="AI81" s="32" t="n"/>
      <c r="AJ81" s="30" t="n"/>
      <c r="AK81" s="30" t="n"/>
      <c r="AL81" s="30" t="n"/>
      <c r="AM81" s="30" t="n"/>
      <c r="AN81" s="30" t="n"/>
      <c r="AO81" s="35">
        <f>IF(NOT(COUNTA(A81:AN81)&gt;0),"",IF(TEXTJOIN(", ",TRUE,IF(B81="","Название",""),IF(C81="","Тип недвижимости",""),IF(D81="","Страна",""),IF(E81="","Город",""),IF(F81="","Улица",""),IF(I81="","Валюта",""),IF(OR(AI81="",AI81&lt;1),"Хотя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земли",""),IF(W81="","Формат долга",""),IF(OR(X81="",X81&lt;=0),"Сумма долга",""),IF(AND(W81="Долги + Аукцион",OR(Y81="",Y81&lt;=0)),"Продать сейчас",""),IF(AND(W81="Долги + Аукцион",OR(Z81="",Z81&lt;=0)),"Минимальная цена продажи",""),IF(AND(W81="Долги + Аукцион",OR(AA81="",AA81&lt;=0)),"Стартовая ставка",""),IF(AND(W81="Долги + Аукцион",AB81=""),"Начало аукциона",""),IF(AND(W81="Долги + Аукцион",AC81=""),"Окончание аукциона",""),IF(AND(W81="Долги + Аукцион",AND(Y81&lt;&gt;"",Z81&lt;&gt;"",Z81&gt;Y81)),"Минимальная цена выше «Продать сейчас»",""),IF(AND(W81="Долги + Аукцион",AND(Y81&lt;&gt;"",Z81&lt;&gt;"",Z81&lt;=Y81,Z81&gt;Y81*0.9)),"Минимальная цена выше 90% от «Продать сейчас»",""),IF(AND(W81="Долги + Аукцион",AND(Y81&lt;&gt;"",AA81&lt;&gt;"",AA81&gt;Y81*0.3)),"Стартовая ставка выше 30% от «Продать сейчас»",""),IF(AND(W81="Долги + Аукцион",AND(AB81&lt;&gt;"",AC81&lt;&gt;"",AC81&lt;EDATE(AB81,3)+15)),"Аукцион короче 3 месяцев и 15 дней",""))="","",TEXTJOIN(", ",TRUE,IF(B81="","Название",""),IF(C81="","Тип недвижимости",""),IF(D81="","Страна",""),IF(E81="","Город",""),IF(F81="","Улица",""),IF(I81="","Валюта",""),IF(OR(AI81="",AI81&lt;1),"Хотя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земли",""),IF(W81="","Формат долга",""),IF(OR(X81="",X81&lt;=0),"Сумма долга",""),IF(AND(W81="Долги + Аукцион",OR(Y81="",Y81&lt;=0)),"Продать сейчас",""),IF(AND(W81="Долги + Аукцион",OR(Z81="",Z81&lt;=0)),"Минимальная цена продажи",""),IF(AND(W81="Долги + Аукцион",OR(AA81="",AA81&lt;=0)),"Стартовая ставка",""),IF(AND(W81="Долги + Аукцион",AB81=""),"Начало аукциона",""),IF(AND(W81="Долги + Аукцион",AC81=""),"Окончание аукциона",""),IF(AND(W81="Долги + Аукцион",AND(Y81&lt;&gt;"",Z81&lt;&gt;"",Z81&gt;Y81)),"Минимальная цена выше «Продать сейчас»",""),IF(AND(W81="Долги + Аукцион",AND(Y81&lt;&gt;"",Z81&lt;&gt;"",Z81&lt;=Y81,Z81&gt;Y81*0.9)),"Минимальная цена выше 90% от «Продать сейчас»",""),IF(AND(W81="Долги + Аукцион",AND(Y81&lt;&gt;"",AA81&lt;&gt;"",AA81&gt;Y81*0.3)),"Стартовая ставка выше 30% от «Продать сейчас»",""),IF(AND(W81="Долги + Аукцион",AND(AB81&lt;&gt;"",AC81&lt;&gt;"",AC81&lt;EDATE(AB81,3)+15)),"Аукцион короче 3 месяцев и 15 дней",""))))</f>
        <v/>
      </c>
      <c r="AP81" s="35">
        <f>IF(NOT(COUNTA(A81:AN81)&gt;0),"",IF(TEXTJOIN(", ",TRUE,IF(AL81="","Описание",""),IF(AND(AI81&lt;&gt;"",AI81&gt;=1,AI81&lt;5),"Фото меньше 5",""),IF(AK81="","Видео",""),IF(H81="","Кадастровый номер",""),IF(AJ81="","Ссылка на фото",""),IF(OR(AD81="",AD81="Нет"),"Кредитный договор",""),IF(OR(AE81="",AE81="Нет"),"Нотариальная закладная",""),IF(OR(AF81="",AF81="Нет"),"Выписка из реестра",""),IF(OR(AG81="",AG81="Нет"),"Оценка объекта",""),IF(AH81="","Статус в суде",""))="","",TEXTJOIN(", ",TRUE,IF(AL81="","Описание",""),IF(AND(AI81&lt;&gt;"",AI81&gt;=1,AI81&lt;5),"Фото меньше 5",""),IF(AK81="","Видео",""),IF(H81="","Кадастровый номер",""),IF(AJ81="","Ссылка на фото",""),IF(OR(AD81="",AD81="Нет"),"Кредитный договор",""),IF(OR(AE81="",AE81="Нет"),"Нотариальная закладная",""),IF(OR(AF81="",AF81="Нет"),"Выписка из реестра",""),IF(OR(AG81="",AG81="Нет"),"Оценка объекта",""),IF(AH81="","Статус в суде",""))))</f>
        <v/>
      </c>
      <c r="AQ81" s="35">
        <f>IF(NOT(COUNTA(A81:AN81)&gt;0),"",IF(AO81="","Можно публиковать","Не хватает"))</f>
        <v/>
      </c>
    </row>
    <row r="82" ht="22" customHeight="1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7" t="n"/>
      <c r="K82" s="37" t="n"/>
      <c r="L82" s="37" t="n"/>
      <c r="M82" s="38" t="n"/>
      <c r="N82" s="38" t="n"/>
      <c r="O82" s="38" t="n"/>
      <c r="P82" s="38" t="n"/>
      <c r="Q82" s="38" t="n"/>
      <c r="R82" s="38" t="n"/>
      <c r="S82" s="36" t="n"/>
      <c r="T82" s="36" t="n"/>
      <c r="U82" s="36" t="n"/>
      <c r="V82" s="36" t="n"/>
      <c r="W82" s="36" t="n"/>
      <c r="X82" s="39" t="n"/>
      <c r="Y82" s="39" t="n"/>
      <c r="Z82" s="39" t="n"/>
      <c r="AA82" s="39" t="n"/>
      <c r="AB82" s="40" t="n"/>
      <c r="AC82" s="40" t="n"/>
      <c r="AD82" s="36" t="n"/>
      <c r="AE82" s="36" t="n"/>
      <c r="AF82" s="36" t="n"/>
      <c r="AG82" s="36" t="n"/>
      <c r="AH82" s="36" t="n"/>
      <c r="AI82" s="38" t="n"/>
      <c r="AJ82" s="36" t="n"/>
      <c r="AK82" s="36" t="n"/>
      <c r="AL82" s="36" t="n"/>
      <c r="AM82" s="36" t="n"/>
      <c r="AN82" s="36" t="n"/>
      <c r="AO82" s="35">
        <f>IF(NOT(COUNTA(A82:AN82)&gt;0),"",IF(TEXTJOIN(", ",TRUE,IF(B82="","Название",""),IF(C82="","Тип недвижимости",""),IF(D82="","Страна",""),IF(E82="","Город",""),IF(F82="","Улица",""),IF(I82="","Валюта",""),IF(OR(AI82="",AI82&lt;1),"Хотя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земли",""),IF(W82="","Формат долга",""),IF(OR(X82="",X82&lt;=0),"Сумма долга",""),IF(AND(W82="Долги + Аукцион",OR(Y82="",Y82&lt;=0)),"Продать сейчас",""),IF(AND(W82="Долги + Аукцион",OR(Z82="",Z82&lt;=0)),"Минимальная цена продажи",""),IF(AND(W82="Долги + Аукцион",OR(AA82="",AA82&lt;=0)),"Стартовая ставка",""),IF(AND(W82="Долги + Аукцион",AB82=""),"Начало аукциона",""),IF(AND(W82="Долги + Аукцион",AC82=""),"Окончание аукциона",""),IF(AND(W82="Долги + Аукцион",AND(Y82&lt;&gt;"",Z82&lt;&gt;"",Z82&gt;Y82)),"Минимальная цена выше «Продать сейчас»",""),IF(AND(W82="Долги + Аукцион",AND(Y82&lt;&gt;"",Z82&lt;&gt;"",Z82&lt;=Y82,Z82&gt;Y82*0.9)),"Минимальная цена выше 90% от «Продать сейчас»",""),IF(AND(W82="Долги + Аукцион",AND(Y82&lt;&gt;"",AA82&lt;&gt;"",AA82&gt;Y82*0.3)),"Стартовая ставка выше 30% от «Продать сейчас»",""),IF(AND(W82="Долги + Аукцион",AND(AB82&lt;&gt;"",AC82&lt;&gt;"",AC82&lt;EDATE(AB82,3)+15)),"Аукцион короче 3 месяцев и 15 дней",""))="","",TEXTJOIN(", ",TRUE,IF(B82="","Название",""),IF(C82="","Тип недвижимости",""),IF(D82="","Страна",""),IF(E82="","Город",""),IF(F82="","Улица",""),IF(I82="","Валюта",""),IF(OR(AI82="",AI82&lt;1),"Хотя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земли",""),IF(W82="","Формат долга",""),IF(OR(X82="",X82&lt;=0),"Сумма долга",""),IF(AND(W82="Долги + Аукцион",OR(Y82="",Y82&lt;=0)),"Продать сейчас",""),IF(AND(W82="Долги + Аукцион",OR(Z82="",Z82&lt;=0)),"Минимальная цена продажи",""),IF(AND(W82="Долги + Аукцион",OR(AA82="",AA82&lt;=0)),"Стартовая ставка",""),IF(AND(W82="Долги + Аукцион",AB82=""),"Начало аукциона",""),IF(AND(W82="Долги + Аукцион",AC82=""),"Окончание аукциона",""),IF(AND(W82="Долги + Аукцион",AND(Y82&lt;&gt;"",Z82&lt;&gt;"",Z82&gt;Y82)),"Минимальная цена выше «Продать сейчас»",""),IF(AND(W82="Долги + Аукцион",AND(Y82&lt;&gt;"",Z82&lt;&gt;"",Z82&lt;=Y82,Z82&gt;Y82*0.9)),"Минимальная цена выше 90% от «Продать сейчас»",""),IF(AND(W82="Долги + Аукцион",AND(Y82&lt;&gt;"",AA82&lt;&gt;"",AA82&gt;Y82*0.3)),"Стартовая ставка выше 30% от «Продать сейчас»",""),IF(AND(W82="Долги + Аукцион",AND(AB82&lt;&gt;"",AC82&lt;&gt;"",AC82&lt;EDATE(AB82,3)+15)),"Аукцион короче 3 месяцев и 15 дней",""))))</f>
        <v/>
      </c>
      <c r="AP82" s="35">
        <f>IF(NOT(COUNTA(A82:AN82)&gt;0),"",IF(TEXTJOIN(", ",TRUE,IF(AL82="","Описание",""),IF(AND(AI82&lt;&gt;"",AI82&gt;=1,AI82&lt;5),"Фото меньше 5",""),IF(AK82="","Видео",""),IF(H82="","Кадастровый номер",""),IF(AJ82="","Ссылка на фото",""),IF(OR(AD82="",AD82="Нет"),"Кредитный договор",""),IF(OR(AE82="",AE82="Нет"),"Нотариальная закладная",""),IF(OR(AF82="",AF82="Нет"),"Выписка из реестра",""),IF(OR(AG82="",AG82="Нет"),"Оценка объекта",""),IF(AH82="","Статус в суде",""))="","",TEXTJOIN(", ",TRUE,IF(AL82="","Описание",""),IF(AND(AI82&lt;&gt;"",AI82&gt;=1,AI82&lt;5),"Фото меньше 5",""),IF(AK82="","Видео",""),IF(H82="","Кадастровый номер",""),IF(AJ82="","Ссылка на фото",""),IF(OR(AD82="",AD82="Нет"),"Кредитный договор",""),IF(OR(AE82="",AE82="Нет"),"Нотариальная закладная",""),IF(OR(AF82="",AF82="Нет"),"Выписка из реестра",""),IF(OR(AG82="",AG82="Нет"),"Оценка объекта",""),IF(AH82="","Статус в суде",""))))</f>
        <v/>
      </c>
      <c r="AQ82" s="35">
        <f>IF(NOT(COUNTA(A82:AN82)&gt;0),"",IF(AO82="","Можно публиковать","Не хватает"))</f>
        <v/>
      </c>
    </row>
  </sheetData>
  <autoFilter ref="A2:AQ82"/>
  <mergeCells count="8">
    <mergeCell ref="J1:V1"/>
    <mergeCell ref="AO1:AQ1"/>
    <mergeCell ref="D1:H1"/>
    <mergeCell ref="AD1:AH1"/>
    <mergeCell ref="W1:X1"/>
    <mergeCell ref="AI1:AM1"/>
    <mergeCell ref="Y1:AC1"/>
    <mergeCell ref="B1:C1"/>
  </mergeCells>
  <conditionalFormatting sqref="AQ3:AQ82">
    <cfRule type="expression" priority="1" dxfId="0">
      <formula>AQ3="Можно публиковать"</formula>
    </cfRule>
    <cfRule type="expression" priority="2" dxfId="1">
      <formula>AQ3="Не хватает"</formula>
    </cfRule>
  </conditionalFormatting>
  <conditionalFormatting sqref="AO3:AO82">
    <cfRule type="expression" priority="3" dxfId="2">
      <formula>AO3&lt;&gt;""</formula>
    </cfRule>
  </conditionalFormatting>
  <dataValidations count="11">
    <dataValidation sqref="C3:C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=Types</formula1>
    </dataValidation>
    <dataValidation sqref="I3:I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=Currencies</formula1>
    </dataValidation>
    <dataValidation sqref="S3:S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=Materials</formula1>
    </dataValidation>
    <dataValidation sqref="T3:T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=Construction</formula1>
    </dataValidation>
    <dataValidation sqref="U3:U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=Commercial</formula1>
    </dataValidation>
    <dataValidation sqref="V3:V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=Purpose</formula1>
    </dataValidation>
    <dataValidation sqref="W3:W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=DebtFormats</formula1>
    </dataValidation>
    <dataValidation sqref="AD3:AD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E3:AE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F3:AF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G3:AG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</dataValidations>
  <pageMargins left="0.75" right="0.75" top="1" bottom="1" header="0.5" footer="0.5"/>
  <pageSetup orientation="landscape" paperSize="8" fitToHeight="0" fitToWidth="1"/>
  <headerFooter>
    <oddHeader>&amp;LДолги</oddHeader>
    <oddFooter>&amp;RПустая ячейка в «Не хватает для публикации» значит, что объект можно публиковать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AV82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6" customWidth="1" min="4" max="4"/>
    <col width="16" customWidth="1" min="5" max="5"/>
    <col width="26" customWidth="1" min="6" max="6"/>
    <col width="14" customWidth="1" min="7" max="7"/>
    <col width="22" customWidth="1" min="8" max="8"/>
    <col width="12" customWidth="1" min="9" max="9"/>
    <col width="14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0" customWidth="1" min="18" max="18"/>
    <col width="16" customWidth="1" min="19" max="19"/>
    <col width="16" customWidth="1" min="20" max="20"/>
    <col width="18" customWidth="1" min="21" max="21"/>
    <col width="22" customWidth="1" min="22" max="22"/>
    <col width="24" customWidth="1" min="23" max="23"/>
    <col width="18" customWidth="1" min="24" max="24"/>
    <col width="22" customWidth="1" min="25" max="25"/>
    <col width="18" customWidth="1" min="26" max="26"/>
    <col width="16" customWidth="1" min="27" max="27"/>
    <col width="16" customWidth="1" min="28" max="28"/>
    <col width="18" customWidth="1" min="29" max="29"/>
    <col width="18" customWidth="1" min="30" max="30"/>
    <col width="14" customWidth="1" min="31" max="31"/>
    <col width="16" customWidth="1" min="32" max="32"/>
    <col width="16" customWidth="1" min="33" max="33"/>
    <col width="16" customWidth="1" min="34" max="34"/>
    <col width="16" customWidth="1" min="35" max="35"/>
    <col width="24" customWidth="1" min="36" max="36"/>
    <col width="28" customWidth="1" min="37" max="37"/>
    <col width="12" customWidth="1" min="38" max="38"/>
    <col width="28" customWidth="1" min="39" max="39"/>
    <col width="24" customWidth="1" min="40" max="40"/>
    <col width="36" customWidth="1" min="41" max="41"/>
    <col width="28" customWidth="1" min="42" max="42"/>
    <col width="20" customWidth="1" min="43" max="43"/>
    <col width="18" customWidth="1" min="44" max="44"/>
    <col width="22" customWidth="1" min="45" max="45"/>
    <col width="42" customWidth="1" min="46" max="46"/>
    <col width="36" customWidth="1" min="47" max="47"/>
    <col width="20" customWidth="1" min="48" max="48"/>
  </cols>
  <sheetData>
    <row r="1" ht="22" customHeight="1">
      <c r="A1" s="12" t="inlineStr">
        <is>
          <t>Сбор</t>
        </is>
      </c>
      <c r="B1" s="13" t="inlineStr">
        <is>
          <t>Объект</t>
        </is>
      </c>
      <c r="D1" s="14" t="inlineStr">
        <is>
          <t>Адрес</t>
        </is>
      </c>
      <c r="I1" s="13" t="inlineStr">
        <is>
          <t>Объект</t>
        </is>
      </c>
      <c r="J1" s="15" t="inlineStr">
        <is>
          <t>Параметры</t>
        </is>
      </c>
      <c r="W1" s="17" t="inlineStr">
        <is>
          <t>Проект</t>
        </is>
      </c>
      <c r="X1" s="17" t="inlineStr">
        <is>
          <t>Экономика</t>
        </is>
      </c>
      <c r="AH1" s="12" t="inlineStr">
        <is>
          <t>Расчёт</t>
        </is>
      </c>
      <c r="AJ1" s="17" t="inlineStr">
        <is>
          <t>Экономика</t>
        </is>
      </c>
      <c r="AL1" s="17" t="inlineStr">
        <is>
          <t>Подача</t>
        </is>
      </c>
      <c r="AQ1" s="18" t="inlineStr">
        <is>
          <t>Документы</t>
        </is>
      </c>
      <c r="AT1" s="19" t="inlineStr">
        <is>
          <t>Проверка</t>
        </is>
      </c>
    </row>
    <row r="2" ht="36" customHeight="1">
      <c r="A2" s="20" t="inlineStr">
        <is>
          <t>Источник</t>
        </is>
      </c>
      <c r="B2" s="21" t="inlineStr">
        <is>
          <t>Название</t>
        </is>
      </c>
      <c r="C2" s="21" t="inlineStr">
        <is>
          <t>Тип недвижимости</t>
        </is>
      </c>
      <c r="D2" s="22" t="inlineStr">
        <is>
          <t>Страна</t>
        </is>
      </c>
      <c r="E2" s="22" t="inlineStr">
        <is>
          <t>Город</t>
        </is>
      </c>
      <c r="F2" s="22" t="inlineStr">
        <is>
          <t>Улица</t>
        </is>
      </c>
      <c r="G2" s="22" t="inlineStr">
        <is>
          <t>Номер дома</t>
        </is>
      </c>
      <c r="H2" s="22" t="inlineStr">
        <is>
          <t>Кадастровый номер</t>
        </is>
      </c>
      <c r="I2" s="21" t="inlineStr">
        <is>
          <t>Валюта</t>
        </is>
      </c>
      <c r="J2" s="23" t="inlineStr">
        <is>
          <t>Площадь, м²</t>
        </is>
      </c>
      <c r="K2" s="23" t="inlineStr">
        <is>
          <t>Жилая, м²</t>
        </is>
      </c>
      <c r="L2" s="23" t="inlineStr">
        <is>
          <t>Участок, м²</t>
        </is>
      </c>
      <c r="M2" s="23" t="inlineStr">
        <is>
          <t>Комнаты</t>
        </is>
      </c>
      <c r="N2" s="23" t="inlineStr">
        <is>
          <t>Спальни</t>
        </is>
      </c>
      <c r="O2" s="23" t="inlineStr">
        <is>
          <t>Ванные</t>
        </is>
      </c>
      <c r="P2" s="23" t="inlineStr">
        <is>
          <t>Этаж</t>
        </is>
      </c>
      <c r="Q2" s="23" t="inlineStr">
        <is>
          <t>Этажей</t>
        </is>
      </c>
      <c r="R2" s="23" t="inlineStr">
        <is>
          <t>Год</t>
        </is>
      </c>
      <c r="S2" s="23" t="inlineStr">
        <is>
          <t>Материал</t>
        </is>
      </c>
      <c r="T2" s="23" t="inlineStr">
        <is>
          <t>Конструкция</t>
        </is>
      </c>
      <c r="U2" s="23" t="inlineStr">
        <is>
          <t>Тип коммерции</t>
        </is>
      </c>
      <c r="V2" s="23" t="inlineStr">
        <is>
          <t>Назначение земли</t>
        </is>
      </c>
      <c r="W2" s="25" t="inlineStr">
        <is>
          <t>Цель продавца</t>
        </is>
      </c>
      <c r="X2" s="25" t="inlineStr">
        <is>
          <t>Участок проекта, м²</t>
        </is>
      </c>
      <c r="Y2" s="25" t="inlineStr">
        <is>
          <t>Площадь строительства, м²</t>
        </is>
      </c>
      <c r="Z2" s="25" t="inlineStr">
        <is>
          <t>Стоимость участка</t>
        </is>
      </c>
      <c r="AA2" s="25" t="inlineStr">
        <is>
          <t>Строительство</t>
        </is>
      </c>
      <c r="AB2" s="25" t="inlineStr">
        <is>
          <t>Налоги и резерв</t>
        </is>
      </c>
      <c r="AC2" s="25" t="inlineStr">
        <is>
          <t>Ожидаемая продажа</t>
        </is>
      </c>
      <c r="AD2" s="25" t="inlineStr">
        <is>
          <t>Капитал инвестора</t>
        </is>
      </c>
      <c r="AE2" s="25" t="inlineStr">
        <is>
          <t>Срок, месяцев</t>
        </is>
      </c>
      <c r="AF2" s="25" t="inlineStr">
        <is>
          <t>Доходность, % год</t>
        </is>
      </c>
      <c r="AG2" s="25" t="inlineStr">
        <is>
          <t>Доля платформы, %</t>
        </is>
      </c>
      <c r="AH2" s="20" t="inlineStr">
        <is>
          <t>Бюджет</t>
        </is>
      </c>
      <c r="AI2" s="20" t="inlineStr">
        <is>
          <t>Валовая прибыль</t>
        </is>
      </c>
      <c r="AJ2" s="25" t="inlineStr">
        <is>
          <t>Лицензия</t>
        </is>
      </c>
      <c r="AK2" s="25" t="inlineStr">
        <is>
          <t>Допущения</t>
        </is>
      </c>
      <c r="AL2" s="25" t="inlineStr">
        <is>
          <t>Фото, шт.</t>
        </is>
      </c>
      <c r="AM2" s="25" t="inlineStr">
        <is>
          <t>Ссылка на фото</t>
        </is>
      </c>
      <c r="AN2" s="25" t="inlineStr">
        <is>
          <t>Ссылка на видео</t>
        </is>
      </c>
      <c r="AO2" s="25" t="inlineStr">
        <is>
          <t>Описание</t>
        </is>
      </c>
      <c r="AP2" s="25" t="inlineStr">
        <is>
          <t>Удобства</t>
        </is>
      </c>
      <c r="AQ2" s="26" t="inlineStr">
        <is>
          <t>Право собственности</t>
        </is>
      </c>
      <c r="AR2" s="26" t="inlineStr">
        <is>
          <t>Нет обременений</t>
        </is>
      </c>
      <c r="AS2" s="26" t="inlineStr">
        <is>
          <t>Доп. документы</t>
        </is>
      </c>
      <c r="AT2" s="27" t="inlineStr">
        <is>
          <t>Не хватает для публикации</t>
        </is>
      </c>
      <c r="AU2" s="28" t="inlineStr">
        <is>
          <t>Желательно добрать</t>
        </is>
      </c>
      <c r="AV2" s="29" t="inlineStr">
        <is>
          <t>Готовность</t>
        </is>
      </c>
    </row>
    <row r="3" ht="22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1" t="n"/>
      <c r="K3" s="31" t="n"/>
      <c r="L3" s="31" t="n"/>
      <c r="M3" s="32" t="n"/>
      <c r="N3" s="32" t="n"/>
      <c r="O3" s="32" t="n"/>
      <c r="P3" s="32" t="n"/>
      <c r="Q3" s="32" t="n"/>
      <c r="R3" s="32" t="n"/>
      <c r="S3" s="30" t="n"/>
      <c r="T3" s="30" t="n"/>
      <c r="U3" s="30" t="n"/>
      <c r="V3" s="30" t="n"/>
      <c r="W3" s="30" t="n"/>
      <c r="X3" s="31" t="n"/>
      <c r="Y3" s="31" t="n"/>
      <c r="Z3" s="33" t="n"/>
      <c r="AA3" s="33" t="n"/>
      <c r="AB3" s="33" t="n"/>
      <c r="AC3" s="33" t="n"/>
      <c r="AD3" s="33" t="n"/>
      <c r="AE3" s="32" t="n"/>
      <c r="AF3" s="42" t="n"/>
      <c r="AG3" s="42" t="n"/>
      <c r="AH3" s="43">
        <f>IF(AND(Z3&lt;&gt;"",AA3&lt;&gt;"",AB3&lt;&gt;""),Z3+AA3+AB3,"")</f>
        <v/>
      </c>
      <c r="AI3" s="43">
        <f>IF(AND(AND(Z3&lt;&gt;"",AA3&lt;&gt;"",AB3&lt;&gt;""),AC3&lt;&gt;""),AC3-(Z3+AA3+AB3),"")</f>
        <v/>
      </c>
      <c r="AJ3" s="30" t="n"/>
      <c r="AK3" s="30" t="n"/>
      <c r="AL3" s="32" t="n"/>
      <c r="AM3" s="30" t="n"/>
      <c r="AN3" s="30" t="n"/>
      <c r="AO3" s="30" t="n"/>
      <c r="AP3" s="30" t="n"/>
      <c r="AQ3" s="30" t="n"/>
      <c r="AR3" s="30" t="n"/>
      <c r="AS3" s="30" t="n"/>
      <c r="AT3" s="35">
        <f>IF(NOT(COUNTA(A3:AS3)&gt;0),"",IF(TEXTJOIN(", ",TRUE,IF(B3="","Название",""),IF(C3="","Тип недвижимости",""),IF(D3="","Страна",""),IF(E3="","Город",""),IF(F3="","Улица",""),IF(I3="","Валюта",""),IF(OR(AL3="",AL3&lt;1),"Хотя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земли",""),IF(OR(AQ3="",AQ3="Нет"),"Право собственности",""),IF(OR(AR3="",AR3="Нет"),"Справка об отсутствии обременений",""),IF(OR(X3="",X3&lt;=0),"Площадь участка проекта",""),IF(OR(Y3="",Y3&lt;=0),"Площадь строительства",""),IF(OR(Z3="",Z3&lt;0),"Стоимость участка",""),IF(OR(AA3="",AA3&lt;0),"Строительство",""),IF(OR(AB3="",AB3&lt;0),"Налоги и резерв",""),IF(OR(AC3="",AC3&lt;0),"Ожидаемая продажа",""),IF(OR(AD3="",AD3&lt;=0),"Капитал инвестора",""),IF(OR(AE3="",AE3&lt;=0,AE3&gt;600),"Срок в месяцах",""),IF(OR(AF3="",AF3&lt;0,AF3&gt;100),"Приоритетная доходность",""),IF(OR(AG3="",AG3&lt;0,AG3&gt;100),"Доля платформы",""),IF(AND(Z3&lt;&gt;"",AA3&lt;&gt;"",AB3&lt;&gt;"",AD3&lt;&gt;"",OR((Z3+AA3+AB3)&lt;=0,AD3&gt;(Z3+AA3+AB3))),"Капитал инвестора больше бюджета",""))="","",TEXTJOIN(", ",TRUE,IF(B3="","Название",""),IF(C3="","Тип недвижимости",""),IF(D3="","Страна",""),IF(E3="","Город",""),IF(F3="","Улица",""),IF(I3="","Валюта",""),IF(OR(AL3="",AL3&lt;1),"Хотя бы 1 фото",""),IF(AND(OR(C3="Квартира",C3="Апартаменты",C3="Дом",C3="Вилла",C3="Коммерческая"),J3=""),"Площадь",""),IF(AND(OR(C3="Квартира",C3="Апартаменты"),K3=""),"Жилая площадь",""),IF(AND(OR(C3="Дом",C3="Вилла",C3="Земля"),L3=""),"Площадь участка",""),IF(AND(OR(C3="Квартира",C3="Апартаменты"),M3=""),"Комнаты",""),IF(AND(OR(C3="Дом",C3="Вилла"),N3=""),"Спальни",""),IF(AND(OR(C3="Квартира",C3="Апартаменты",C3="Дом",C3="Вилла"),O3=""),"Ванные",""),IF(AND(OR(C3="Квартира",C3="Апартаменты"),P3=""),"Этаж",""),IF(AND(OR(OR(C3="Квартира",C3="Апартаменты"),OR(C3="Дом",C3="Вилла")),Q3=""),"Этажей",""),IF(AND(OR(OR(C3="Квартира",C3="Апартаменты"),OR(C3="Дом",C3="Вилла")),OR(R3="",R3&gt;YEAR(TODAY()))),"Год постройки",""),IF(AND(P3&lt;&gt;"",Q3&lt;&gt;"",P3&gt;Q3),"Этаж больше этажности",""),IF(AND(OR(C3="Квартира",C3="Апартаменты",C3="Дом",C3="Вилла"),S3=""),"Материал",""),IF(AND(OR(C3="Коммерческая"),U3=""),"Тип коммерции",""),IF(AND(OR(C3="Земля"),V3=""),"Назначение земли",""),IF(OR(AQ3="",AQ3="Нет"),"Право собственности",""),IF(OR(AR3="",AR3="Нет"),"Справка об отсутствии обременений",""),IF(OR(X3="",X3&lt;=0),"Площадь участка проекта",""),IF(OR(Y3="",Y3&lt;=0),"Площадь строительства",""),IF(OR(Z3="",Z3&lt;0),"Стоимость участка",""),IF(OR(AA3="",AA3&lt;0),"Строительство",""),IF(OR(AB3="",AB3&lt;0),"Налоги и резерв",""),IF(OR(AC3="",AC3&lt;0),"Ожидаемая продажа",""),IF(OR(AD3="",AD3&lt;=0),"Капитал инвестора",""),IF(OR(AE3="",AE3&lt;=0,AE3&gt;600),"Срок в месяцах",""),IF(OR(AF3="",AF3&lt;0,AF3&gt;100),"Приоритетная доходность",""),IF(OR(AG3="",AG3&lt;0,AG3&gt;100),"Доля платформы",""),IF(AND(Z3&lt;&gt;"",AA3&lt;&gt;"",AB3&lt;&gt;"",AD3&lt;&gt;"",OR((Z3+AA3+AB3)&lt;=0,AD3&gt;(Z3+AA3+AB3))),"Капитал инвестора больше бюджета",""))))</f>
        <v/>
      </c>
      <c r="AU3" s="35">
        <f>IF(NOT(COUNTA(A3:AS3)&gt;0),"",IF(TEXTJOIN(", ",TRUE,IF(AO3="","Описание",""),IF(AND(AL3&lt;&gt;"",AL3&gt;=1,AL3&lt;5),"Фото меньше 5",""),IF(AN3="","Видео",""),IF(H3="","Кадастровый номер",""),IF(AM3="","Ссылка на фото",""),IF(W3="","Цель продавца",""),IF(AJ3="","Лицензия",""),IF(AK3="","Допущения и источники",""))="","",TEXTJOIN(", ",TRUE,IF(AO3="","Описание",""),IF(AND(AL3&lt;&gt;"",AL3&gt;=1,AL3&lt;5),"Фото меньше 5",""),IF(AN3="","Видео",""),IF(H3="","Кадастровый номер",""),IF(AM3="","Ссылка на фото",""),IF(W3="","Цель продавца",""),IF(AJ3="","Лицензия",""),IF(AK3="","Допущения и источники",""))))</f>
        <v/>
      </c>
      <c r="AV3" s="35">
        <f>IF(NOT(COUNTA(A3:AS3)&gt;0),"",IF(AT3="","Можно публиковать","Не хватает"))</f>
        <v/>
      </c>
    </row>
    <row r="4" ht="22" customHeight="1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7" t="n"/>
      <c r="K4" s="37" t="n"/>
      <c r="L4" s="37" t="n"/>
      <c r="M4" s="38" t="n"/>
      <c r="N4" s="38" t="n"/>
      <c r="O4" s="38" t="n"/>
      <c r="P4" s="38" t="n"/>
      <c r="Q4" s="38" t="n"/>
      <c r="R4" s="38" t="n"/>
      <c r="S4" s="36" t="n"/>
      <c r="T4" s="36" t="n"/>
      <c r="U4" s="36" t="n"/>
      <c r="V4" s="36" t="n"/>
      <c r="W4" s="36" t="n"/>
      <c r="X4" s="37" t="n"/>
      <c r="Y4" s="37" t="n"/>
      <c r="Z4" s="39" t="n"/>
      <c r="AA4" s="39" t="n"/>
      <c r="AB4" s="39" t="n"/>
      <c r="AC4" s="39" t="n"/>
      <c r="AD4" s="39" t="n"/>
      <c r="AE4" s="38" t="n"/>
      <c r="AF4" s="44" t="n"/>
      <c r="AG4" s="44" t="n"/>
      <c r="AH4" s="43">
        <f>IF(AND(Z4&lt;&gt;"",AA4&lt;&gt;"",AB4&lt;&gt;""),Z4+AA4+AB4,"")</f>
        <v/>
      </c>
      <c r="AI4" s="43">
        <f>IF(AND(AND(Z4&lt;&gt;"",AA4&lt;&gt;"",AB4&lt;&gt;""),AC4&lt;&gt;""),AC4-(Z4+AA4+AB4),"")</f>
        <v/>
      </c>
      <c r="AJ4" s="36" t="n"/>
      <c r="AK4" s="36" t="n"/>
      <c r="AL4" s="38" t="n"/>
      <c r="AM4" s="36" t="n"/>
      <c r="AN4" s="36" t="n"/>
      <c r="AO4" s="36" t="n"/>
      <c r="AP4" s="36" t="n"/>
      <c r="AQ4" s="36" t="n"/>
      <c r="AR4" s="36" t="n"/>
      <c r="AS4" s="36" t="n"/>
      <c r="AT4" s="35">
        <f>IF(NOT(COUNTA(A4:AS4)&gt;0),"",IF(TEXTJOIN(", ",TRUE,IF(B4="","Название",""),IF(C4="","Тип недвижимости",""),IF(D4="","Страна",""),IF(E4="","Город",""),IF(F4="","Улица",""),IF(I4="","Валюта",""),IF(OR(AL4="",AL4&lt;1),"Хотя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земли",""),IF(OR(AQ4="",AQ4="Нет"),"Право собственности",""),IF(OR(AR4="",AR4="Нет"),"Справка об отсутствии обременений",""),IF(OR(X4="",X4&lt;=0),"Площадь участка проекта",""),IF(OR(Y4="",Y4&lt;=0),"Площадь строительства",""),IF(OR(Z4="",Z4&lt;0),"Стоимость участка",""),IF(OR(AA4="",AA4&lt;0),"Строительство",""),IF(OR(AB4="",AB4&lt;0),"Налоги и резерв",""),IF(OR(AC4="",AC4&lt;0),"Ожидаемая продажа",""),IF(OR(AD4="",AD4&lt;=0),"Капитал инвестора",""),IF(OR(AE4="",AE4&lt;=0,AE4&gt;600),"Срок в месяцах",""),IF(OR(AF4="",AF4&lt;0,AF4&gt;100),"Приоритетная доходность",""),IF(OR(AG4="",AG4&lt;0,AG4&gt;100),"Доля платформы",""),IF(AND(Z4&lt;&gt;"",AA4&lt;&gt;"",AB4&lt;&gt;"",AD4&lt;&gt;"",OR((Z4+AA4+AB4)&lt;=0,AD4&gt;(Z4+AA4+AB4))),"Капитал инвестора больше бюджета",""))="","",TEXTJOIN(", ",TRUE,IF(B4="","Название",""),IF(C4="","Тип недвижимости",""),IF(D4="","Страна",""),IF(E4="","Город",""),IF(F4="","Улица",""),IF(I4="","Валюта",""),IF(OR(AL4="",AL4&lt;1),"Хотя бы 1 фото",""),IF(AND(OR(C4="Квартира",C4="Апартаменты",C4="Дом",C4="Вилла",C4="Коммерческая"),J4=""),"Площадь",""),IF(AND(OR(C4="Квартира",C4="Апартаменты"),K4=""),"Жилая площадь",""),IF(AND(OR(C4="Дом",C4="Вилла",C4="Земля"),L4=""),"Площадь участка",""),IF(AND(OR(C4="Квартира",C4="Апартаменты"),M4=""),"Комнаты",""),IF(AND(OR(C4="Дом",C4="Вилла"),N4=""),"Спальни",""),IF(AND(OR(C4="Квартира",C4="Апартаменты",C4="Дом",C4="Вилла"),O4=""),"Ванные",""),IF(AND(OR(C4="Квартира",C4="Апартаменты"),P4=""),"Этаж",""),IF(AND(OR(OR(C4="Квартира",C4="Апартаменты"),OR(C4="Дом",C4="Вилла")),Q4=""),"Этажей",""),IF(AND(OR(OR(C4="Квартира",C4="Апартаменты"),OR(C4="Дом",C4="Вилла")),OR(R4="",R4&gt;YEAR(TODAY()))),"Год постройки",""),IF(AND(P4&lt;&gt;"",Q4&lt;&gt;"",P4&gt;Q4),"Этаж больше этажности",""),IF(AND(OR(C4="Квартира",C4="Апартаменты",C4="Дом",C4="Вилла"),S4=""),"Материал",""),IF(AND(OR(C4="Коммерческая"),U4=""),"Тип коммерции",""),IF(AND(OR(C4="Земля"),V4=""),"Назначение земли",""),IF(OR(AQ4="",AQ4="Нет"),"Право собственности",""),IF(OR(AR4="",AR4="Нет"),"Справка об отсутствии обременений",""),IF(OR(X4="",X4&lt;=0),"Площадь участка проекта",""),IF(OR(Y4="",Y4&lt;=0),"Площадь строительства",""),IF(OR(Z4="",Z4&lt;0),"Стоимость участка",""),IF(OR(AA4="",AA4&lt;0),"Строительство",""),IF(OR(AB4="",AB4&lt;0),"Налоги и резерв",""),IF(OR(AC4="",AC4&lt;0),"Ожидаемая продажа",""),IF(OR(AD4="",AD4&lt;=0),"Капитал инвестора",""),IF(OR(AE4="",AE4&lt;=0,AE4&gt;600),"Срок в месяцах",""),IF(OR(AF4="",AF4&lt;0,AF4&gt;100),"Приоритетная доходность",""),IF(OR(AG4="",AG4&lt;0,AG4&gt;100),"Доля платформы",""),IF(AND(Z4&lt;&gt;"",AA4&lt;&gt;"",AB4&lt;&gt;"",AD4&lt;&gt;"",OR((Z4+AA4+AB4)&lt;=0,AD4&gt;(Z4+AA4+AB4))),"Капитал инвестора больше бюджета",""))))</f>
        <v/>
      </c>
      <c r="AU4" s="35">
        <f>IF(NOT(COUNTA(A4:AS4)&gt;0),"",IF(TEXTJOIN(", ",TRUE,IF(AO4="","Описание",""),IF(AND(AL4&lt;&gt;"",AL4&gt;=1,AL4&lt;5),"Фото меньше 5",""),IF(AN4="","Видео",""),IF(H4="","Кадастровый номер",""),IF(AM4="","Ссылка на фото",""),IF(W4="","Цель продавца",""),IF(AJ4="","Лицензия",""),IF(AK4="","Допущения и источники",""))="","",TEXTJOIN(", ",TRUE,IF(AO4="","Описание",""),IF(AND(AL4&lt;&gt;"",AL4&gt;=1,AL4&lt;5),"Фото меньше 5",""),IF(AN4="","Видео",""),IF(H4="","Кадастровый номер",""),IF(AM4="","Ссылка на фото",""),IF(W4="","Цель продавца",""),IF(AJ4="","Лицензия",""),IF(AK4="","Допущения и источники",""))))</f>
        <v/>
      </c>
      <c r="AV4" s="35">
        <f>IF(NOT(COUNTA(A4:AS4)&gt;0),"",IF(AT4="","Можно публиковать","Не хватает"))</f>
        <v/>
      </c>
    </row>
    <row r="5" ht="22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31" t="n"/>
      <c r="L5" s="31" t="n"/>
      <c r="M5" s="32" t="n"/>
      <c r="N5" s="32" t="n"/>
      <c r="O5" s="32" t="n"/>
      <c r="P5" s="32" t="n"/>
      <c r="Q5" s="32" t="n"/>
      <c r="R5" s="32" t="n"/>
      <c r="S5" s="30" t="n"/>
      <c r="T5" s="30" t="n"/>
      <c r="U5" s="30" t="n"/>
      <c r="V5" s="30" t="n"/>
      <c r="W5" s="30" t="n"/>
      <c r="X5" s="31" t="n"/>
      <c r="Y5" s="31" t="n"/>
      <c r="Z5" s="33" t="n"/>
      <c r="AA5" s="33" t="n"/>
      <c r="AB5" s="33" t="n"/>
      <c r="AC5" s="33" t="n"/>
      <c r="AD5" s="33" t="n"/>
      <c r="AE5" s="32" t="n"/>
      <c r="AF5" s="42" t="n"/>
      <c r="AG5" s="42" t="n"/>
      <c r="AH5" s="43">
        <f>IF(AND(Z5&lt;&gt;"",AA5&lt;&gt;"",AB5&lt;&gt;""),Z5+AA5+AB5,"")</f>
        <v/>
      </c>
      <c r="AI5" s="43">
        <f>IF(AND(AND(Z5&lt;&gt;"",AA5&lt;&gt;"",AB5&lt;&gt;""),AC5&lt;&gt;""),AC5-(Z5+AA5+AB5),"")</f>
        <v/>
      </c>
      <c r="AJ5" s="30" t="n"/>
      <c r="AK5" s="30" t="n"/>
      <c r="AL5" s="32" t="n"/>
      <c r="AM5" s="30" t="n"/>
      <c r="AN5" s="30" t="n"/>
      <c r="AO5" s="30" t="n"/>
      <c r="AP5" s="30" t="n"/>
      <c r="AQ5" s="30" t="n"/>
      <c r="AR5" s="30" t="n"/>
      <c r="AS5" s="30" t="n"/>
      <c r="AT5" s="35">
        <f>IF(NOT(COUNTA(A5:AS5)&gt;0),"",IF(TEXTJOIN(", ",TRUE,IF(B5="","Название",""),IF(C5="","Тип недвижимости",""),IF(D5="","Страна",""),IF(E5="","Город",""),IF(F5="","Улица",""),IF(I5="","Валюта",""),IF(OR(AL5="",AL5&lt;1),"Хотя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земли",""),IF(OR(AQ5="",AQ5="Нет"),"Право собственности",""),IF(OR(AR5="",AR5="Нет"),"Справка об отсутствии обременений",""),IF(OR(X5="",X5&lt;=0),"Площадь участка проекта",""),IF(OR(Y5="",Y5&lt;=0),"Площадь строительства",""),IF(OR(Z5="",Z5&lt;0),"Стоимость участка",""),IF(OR(AA5="",AA5&lt;0),"Строительство",""),IF(OR(AB5="",AB5&lt;0),"Налоги и резерв",""),IF(OR(AC5="",AC5&lt;0),"Ожидаемая продажа",""),IF(OR(AD5="",AD5&lt;=0),"Капитал инвестора",""),IF(OR(AE5="",AE5&lt;=0,AE5&gt;600),"Срок в месяцах",""),IF(OR(AF5="",AF5&lt;0,AF5&gt;100),"Приоритетная доходность",""),IF(OR(AG5="",AG5&lt;0,AG5&gt;100),"Доля платформы",""),IF(AND(Z5&lt;&gt;"",AA5&lt;&gt;"",AB5&lt;&gt;"",AD5&lt;&gt;"",OR((Z5+AA5+AB5)&lt;=0,AD5&gt;(Z5+AA5+AB5))),"Капитал инвестора больше бюджета",""))="","",TEXTJOIN(", ",TRUE,IF(B5="","Название",""),IF(C5="","Тип недвижимости",""),IF(D5="","Страна",""),IF(E5="","Город",""),IF(F5="","Улица",""),IF(I5="","Валюта",""),IF(OR(AL5="",AL5&lt;1),"Хотя бы 1 фото",""),IF(AND(OR(C5="Квартира",C5="Апартаменты",C5="Дом",C5="Вилла",C5="Коммерческая"),J5=""),"Площадь",""),IF(AND(OR(C5="Квартира",C5="Апартаменты"),K5=""),"Жилая площадь",""),IF(AND(OR(C5="Дом",C5="Вилла",C5="Земля"),L5=""),"Площадь участка",""),IF(AND(OR(C5="Квартира",C5="Апартаменты"),M5=""),"Комнаты",""),IF(AND(OR(C5="Дом",C5="Вилла"),N5=""),"Спальни",""),IF(AND(OR(C5="Квартира",C5="Апартаменты",C5="Дом",C5="Вилла"),O5=""),"Ванные",""),IF(AND(OR(C5="Квартира",C5="Апартаменты"),P5=""),"Этаж",""),IF(AND(OR(OR(C5="Квартира",C5="Апартаменты"),OR(C5="Дом",C5="Вилла")),Q5=""),"Этажей",""),IF(AND(OR(OR(C5="Квартира",C5="Апартаменты"),OR(C5="Дом",C5="Вилла")),OR(R5="",R5&gt;YEAR(TODAY()))),"Год постройки",""),IF(AND(P5&lt;&gt;"",Q5&lt;&gt;"",P5&gt;Q5),"Этаж больше этажности",""),IF(AND(OR(C5="Квартира",C5="Апартаменты",C5="Дом",C5="Вилла"),S5=""),"Материал",""),IF(AND(OR(C5="Коммерческая"),U5=""),"Тип коммерции",""),IF(AND(OR(C5="Земля"),V5=""),"Назначение земли",""),IF(OR(AQ5="",AQ5="Нет"),"Право собственности",""),IF(OR(AR5="",AR5="Нет"),"Справка об отсутствии обременений",""),IF(OR(X5="",X5&lt;=0),"Площадь участка проекта",""),IF(OR(Y5="",Y5&lt;=0),"Площадь строительства",""),IF(OR(Z5="",Z5&lt;0),"Стоимость участка",""),IF(OR(AA5="",AA5&lt;0),"Строительство",""),IF(OR(AB5="",AB5&lt;0),"Налоги и резерв",""),IF(OR(AC5="",AC5&lt;0),"Ожидаемая продажа",""),IF(OR(AD5="",AD5&lt;=0),"Капитал инвестора",""),IF(OR(AE5="",AE5&lt;=0,AE5&gt;600),"Срок в месяцах",""),IF(OR(AF5="",AF5&lt;0,AF5&gt;100),"Приоритетная доходность",""),IF(OR(AG5="",AG5&lt;0,AG5&gt;100),"Доля платформы",""),IF(AND(Z5&lt;&gt;"",AA5&lt;&gt;"",AB5&lt;&gt;"",AD5&lt;&gt;"",OR((Z5+AA5+AB5)&lt;=0,AD5&gt;(Z5+AA5+AB5))),"Капитал инвестора больше бюджета",""))))</f>
        <v/>
      </c>
      <c r="AU5" s="35">
        <f>IF(NOT(COUNTA(A5:AS5)&gt;0),"",IF(TEXTJOIN(", ",TRUE,IF(AO5="","Описание",""),IF(AND(AL5&lt;&gt;"",AL5&gt;=1,AL5&lt;5),"Фото меньше 5",""),IF(AN5="","Видео",""),IF(H5="","Кадастровый номер",""),IF(AM5="","Ссылка на фото",""),IF(W5="","Цель продавца",""),IF(AJ5="","Лицензия",""),IF(AK5="","Допущения и источники",""))="","",TEXTJOIN(", ",TRUE,IF(AO5="","Описание",""),IF(AND(AL5&lt;&gt;"",AL5&gt;=1,AL5&lt;5),"Фото меньше 5",""),IF(AN5="","Видео",""),IF(H5="","Кадастровый номер",""),IF(AM5="","Ссылка на фото",""),IF(W5="","Цель продавца",""),IF(AJ5="","Лицензия",""),IF(AK5="","Допущения и источники",""))))</f>
        <v/>
      </c>
      <c r="AV5" s="35">
        <f>IF(NOT(COUNTA(A5:AS5)&gt;0),"",IF(AT5="","Можно публиковать","Не хватает"))</f>
        <v/>
      </c>
    </row>
    <row r="6" ht="22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7" t="n"/>
      <c r="K6" s="37" t="n"/>
      <c r="L6" s="37" t="n"/>
      <c r="M6" s="38" t="n"/>
      <c r="N6" s="38" t="n"/>
      <c r="O6" s="38" t="n"/>
      <c r="P6" s="38" t="n"/>
      <c r="Q6" s="38" t="n"/>
      <c r="R6" s="38" t="n"/>
      <c r="S6" s="36" t="n"/>
      <c r="T6" s="36" t="n"/>
      <c r="U6" s="36" t="n"/>
      <c r="V6" s="36" t="n"/>
      <c r="W6" s="36" t="n"/>
      <c r="X6" s="37" t="n"/>
      <c r="Y6" s="37" t="n"/>
      <c r="Z6" s="39" t="n"/>
      <c r="AA6" s="39" t="n"/>
      <c r="AB6" s="39" t="n"/>
      <c r="AC6" s="39" t="n"/>
      <c r="AD6" s="39" t="n"/>
      <c r="AE6" s="38" t="n"/>
      <c r="AF6" s="44" t="n"/>
      <c r="AG6" s="44" t="n"/>
      <c r="AH6" s="43">
        <f>IF(AND(Z6&lt;&gt;"",AA6&lt;&gt;"",AB6&lt;&gt;""),Z6+AA6+AB6,"")</f>
        <v/>
      </c>
      <c r="AI6" s="43">
        <f>IF(AND(AND(Z6&lt;&gt;"",AA6&lt;&gt;"",AB6&lt;&gt;""),AC6&lt;&gt;""),AC6-(Z6+AA6+AB6),"")</f>
        <v/>
      </c>
      <c r="AJ6" s="36" t="n"/>
      <c r="AK6" s="36" t="n"/>
      <c r="AL6" s="38" t="n"/>
      <c r="AM6" s="36" t="n"/>
      <c r="AN6" s="36" t="n"/>
      <c r="AO6" s="36" t="n"/>
      <c r="AP6" s="36" t="n"/>
      <c r="AQ6" s="36" t="n"/>
      <c r="AR6" s="36" t="n"/>
      <c r="AS6" s="36" t="n"/>
      <c r="AT6" s="35">
        <f>IF(NOT(COUNTA(A6:AS6)&gt;0),"",IF(TEXTJOIN(", ",TRUE,IF(B6="","Название",""),IF(C6="","Тип недвижимости",""),IF(D6="","Страна",""),IF(E6="","Город",""),IF(F6="","Улица",""),IF(I6="","Валюта",""),IF(OR(AL6="",AL6&lt;1),"Хотя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земли",""),IF(OR(AQ6="",AQ6="Нет"),"Право собственности",""),IF(OR(AR6="",AR6="Нет"),"Справка об отсутствии обременений",""),IF(OR(X6="",X6&lt;=0),"Площадь участка проекта",""),IF(OR(Y6="",Y6&lt;=0),"Площадь строительства",""),IF(OR(Z6="",Z6&lt;0),"Стоимость участка",""),IF(OR(AA6="",AA6&lt;0),"Строительство",""),IF(OR(AB6="",AB6&lt;0),"Налоги и резерв",""),IF(OR(AC6="",AC6&lt;0),"Ожидаемая продажа",""),IF(OR(AD6="",AD6&lt;=0),"Капитал инвестора",""),IF(OR(AE6="",AE6&lt;=0,AE6&gt;600),"Срок в месяцах",""),IF(OR(AF6="",AF6&lt;0,AF6&gt;100),"Приоритетная доходность",""),IF(OR(AG6="",AG6&lt;0,AG6&gt;100),"Доля платформы",""),IF(AND(Z6&lt;&gt;"",AA6&lt;&gt;"",AB6&lt;&gt;"",AD6&lt;&gt;"",OR((Z6+AA6+AB6)&lt;=0,AD6&gt;(Z6+AA6+AB6))),"Капитал инвестора больше бюджета",""))="","",TEXTJOIN(", ",TRUE,IF(B6="","Название",""),IF(C6="","Тип недвижимости",""),IF(D6="","Страна",""),IF(E6="","Город",""),IF(F6="","Улица",""),IF(I6="","Валюта",""),IF(OR(AL6="",AL6&lt;1),"Хотя бы 1 фото",""),IF(AND(OR(C6="Квартира",C6="Апартаменты",C6="Дом",C6="Вилла",C6="Коммерческая"),J6=""),"Площадь",""),IF(AND(OR(C6="Квартира",C6="Апартаменты"),K6=""),"Жилая площадь",""),IF(AND(OR(C6="Дом",C6="Вилла",C6="Земля"),L6=""),"Площадь участка",""),IF(AND(OR(C6="Квартира",C6="Апартаменты"),M6=""),"Комнаты",""),IF(AND(OR(C6="Дом",C6="Вилла"),N6=""),"Спальни",""),IF(AND(OR(C6="Квартира",C6="Апартаменты",C6="Дом",C6="Вилла"),O6=""),"Ванные",""),IF(AND(OR(C6="Квартира",C6="Апартаменты"),P6=""),"Этаж",""),IF(AND(OR(OR(C6="Квартира",C6="Апартаменты"),OR(C6="Дом",C6="Вилла")),Q6=""),"Этажей",""),IF(AND(OR(OR(C6="Квартира",C6="Апартаменты"),OR(C6="Дом",C6="Вилла")),OR(R6="",R6&gt;YEAR(TODAY()))),"Год постройки",""),IF(AND(P6&lt;&gt;"",Q6&lt;&gt;"",P6&gt;Q6),"Этаж больше этажности",""),IF(AND(OR(C6="Квартира",C6="Апартаменты",C6="Дом",C6="Вилла"),S6=""),"Материал",""),IF(AND(OR(C6="Коммерческая"),U6=""),"Тип коммерции",""),IF(AND(OR(C6="Земля"),V6=""),"Назначение земли",""),IF(OR(AQ6="",AQ6="Нет"),"Право собственности",""),IF(OR(AR6="",AR6="Нет"),"Справка об отсутствии обременений",""),IF(OR(X6="",X6&lt;=0),"Площадь участка проекта",""),IF(OR(Y6="",Y6&lt;=0),"Площадь строительства",""),IF(OR(Z6="",Z6&lt;0),"Стоимость участка",""),IF(OR(AA6="",AA6&lt;0),"Строительство",""),IF(OR(AB6="",AB6&lt;0),"Налоги и резерв",""),IF(OR(AC6="",AC6&lt;0),"Ожидаемая продажа",""),IF(OR(AD6="",AD6&lt;=0),"Капитал инвестора",""),IF(OR(AE6="",AE6&lt;=0,AE6&gt;600),"Срок в месяцах",""),IF(OR(AF6="",AF6&lt;0,AF6&gt;100),"Приоритетная доходность",""),IF(OR(AG6="",AG6&lt;0,AG6&gt;100),"Доля платформы",""),IF(AND(Z6&lt;&gt;"",AA6&lt;&gt;"",AB6&lt;&gt;"",AD6&lt;&gt;"",OR((Z6+AA6+AB6)&lt;=0,AD6&gt;(Z6+AA6+AB6))),"Капитал инвестора больше бюджета",""))))</f>
        <v/>
      </c>
      <c r="AU6" s="35">
        <f>IF(NOT(COUNTA(A6:AS6)&gt;0),"",IF(TEXTJOIN(", ",TRUE,IF(AO6="","Описание",""),IF(AND(AL6&lt;&gt;"",AL6&gt;=1,AL6&lt;5),"Фото меньше 5",""),IF(AN6="","Видео",""),IF(H6="","Кадастровый номер",""),IF(AM6="","Ссылка на фото",""),IF(W6="","Цель продавца",""),IF(AJ6="","Лицензия",""),IF(AK6="","Допущения и источники",""))="","",TEXTJOIN(", ",TRUE,IF(AO6="","Описание",""),IF(AND(AL6&lt;&gt;"",AL6&gt;=1,AL6&lt;5),"Фото меньше 5",""),IF(AN6="","Видео",""),IF(H6="","Кадастровый номер",""),IF(AM6="","Ссылка на фото",""),IF(W6="","Цель продавца",""),IF(AJ6="","Лицензия",""),IF(AK6="","Допущения и источники",""))))</f>
        <v/>
      </c>
      <c r="AV6" s="35">
        <f>IF(NOT(COUNTA(A6:AS6)&gt;0),"",IF(AT6="","Можно публиковать","Не хватает"))</f>
        <v/>
      </c>
    </row>
    <row r="7" ht="22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31" t="n"/>
      <c r="L7" s="31" t="n"/>
      <c r="M7" s="32" t="n"/>
      <c r="N7" s="32" t="n"/>
      <c r="O7" s="32" t="n"/>
      <c r="P7" s="32" t="n"/>
      <c r="Q7" s="32" t="n"/>
      <c r="R7" s="32" t="n"/>
      <c r="S7" s="30" t="n"/>
      <c r="T7" s="30" t="n"/>
      <c r="U7" s="30" t="n"/>
      <c r="V7" s="30" t="n"/>
      <c r="W7" s="30" t="n"/>
      <c r="X7" s="31" t="n"/>
      <c r="Y7" s="31" t="n"/>
      <c r="Z7" s="33" t="n"/>
      <c r="AA7" s="33" t="n"/>
      <c r="AB7" s="33" t="n"/>
      <c r="AC7" s="33" t="n"/>
      <c r="AD7" s="33" t="n"/>
      <c r="AE7" s="32" t="n"/>
      <c r="AF7" s="42" t="n"/>
      <c r="AG7" s="42" t="n"/>
      <c r="AH7" s="43">
        <f>IF(AND(Z7&lt;&gt;"",AA7&lt;&gt;"",AB7&lt;&gt;""),Z7+AA7+AB7,"")</f>
        <v/>
      </c>
      <c r="AI7" s="43">
        <f>IF(AND(AND(Z7&lt;&gt;"",AA7&lt;&gt;"",AB7&lt;&gt;""),AC7&lt;&gt;""),AC7-(Z7+AA7+AB7),"")</f>
        <v/>
      </c>
      <c r="AJ7" s="30" t="n"/>
      <c r="AK7" s="30" t="n"/>
      <c r="AL7" s="32" t="n"/>
      <c r="AM7" s="30" t="n"/>
      <c r="AN7" s="30" t="n"/>
      <c r="AO7" s="30" t="n"/>
      <c r="AP7" s="30" t="n"/>
      <c r="AQ7" s="30" t="n"/>
      <c r="AR7" s="30" t="n"/>
      <c r="AS7" s="30" t="n"/>
      <c r="AT7" s="35">
        <f>IF(NOT(COUNTA(A7:AS7)&gt;0),"",IF(TEXTJOIN(", ",TRUE,IF(B7="","Название",""),IF(C7="","Тип недвижимости",""),IF(D7="","Страна",""),IF(E7="","Город",""),IF(F7="","Улица",""),IF(I7="","Валюта",""),IF(OR(AL7="",AL7&lt;1),"Хотя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земли",""),IF(OR(AQ7="",AQ7="Нет"),"Право собственности",""),IF(OR(AR7="",AR7="Нет"),"Справка об отсутствии обременений",""),IF(OR(X7="",X7&lt;=0),"Площадь участка проекта",""),IF(OR(Y7="",Y7&lt;=0),"Площадь строительства",""),IF(OR(Z7="",Z7&lt;0),"Стоимость участка",""),IF(OR(AA7="",AA7&lt;0),"Строительство",""),IF(OR(AB7="",AB7&lt;0),"Налоги и резерв",""),IF(OR(AC7="",AC7&lt;0),"Ожидаемая продажа",""),IF(OR(AD7="",AD7&lt;=0),"Капитал инвестора",""),IF(OR(AE7="",AE7&lt;=0,AE7&gt;600),"Срок в месяцах",""),IF(OR(AF7="",AF7&lt;0,AF7&gt;100),"Приоритетная доходность",""),IF(OR(AG7="",AG7&lt;0,AG7&gt;100),"Доля платформы",""),IF(AND(Z7&lt;&gt;"",AA7&lt;&gt;"",AB7&lt;&gt;"",AD7&lt;&gt;"",OR((Z7+AA7+AB7)&lt;=0,AD7&gt;(Z7+AA7+AB7))),"Капитал инвестора больше бюджета",""))="","",TEXTJOIN(", ",TRUE,IF(B7="","Название",""),IF(C7="","Тип недвижимости",""),IF(D7="","Страна",""),IF(E7="","Город",""),IF(F7="","Улица",""),IF(I7="","Валюта",""),IF(OR(AL7="",AL7&lt;1),"Хотя бы 1 фото",""),IF(AND(OR(C7="Квартира",C7="Апартаменты",C7="Дом",C7="Вилла",C7="Коммерческая"),J7=""),"Площадь",""),IF(AND(OR(C7="Квартира",C7="Апартаменты"),K7=""),"Жилая площадь",""),IF(AND(OR(C7="Дом",C7="Вилла",C7="Земля"),L7=""),"Площадь участка",""),IF(AND(OR(C7="Квартира",C7="Апартаменты"),M7=""),"Комнаты",""),IF(AND(OR(C7="Дом",C7="Вилла"),N7=""),"Спальни",""),IF(AND(OR(C7="Квартира",C7="Апартаменты",C7="Дом",C7="Вилла"),O7=""),"Ванные",""),IF(AND(OR(C7="Квартира",C7="Апартаменты"),P7=""),"Этаж",""),IF(AND(OR(OR(C7="Квартира",C7="Апартаменты"),OR(C7="Дом",C7="Вилла")),Q7=""),"Этажей",""),IF(AND(OR(OR(C7="Квартира",C7="Апартаменты"),OR(C7="Дом",C7="Вилла")),OR(R7="",R7&gt;YEAR(TODAY()))),"Год постройки",""),IF(AND(P7&lt;&gt;"",Q7&lt;&gt;"",P7&gt;Q7),"Этаж больше этажности",""),IF(AND(OR(C7="Квартира",C7="Апартаменты",C7="Дом",C7="Вилла"),S7=""),"Материал",""),IF(AND(OR(C7="Коммерческая"),U7=""),"Тип коммерции",""),IF(AND(OR(C7="Земля"),V7=""),"Назначение земли",""),IF(OR(AQ7="",AQ7="Нет"),"Право собственности",""),IF(OR(AR7="",AR7="Нет"),"Справка об отсутствии обременений",""),IF(OR(X7="",X7&lt;=0),"Площадь участка проекта",""),IF(OR(Y7="",Y7&lt;=0),"Площадь строительства",""),IF(OR(Z7="",Z7&lt;0),"Стоимость участка",""),IF(OR(AA7="",AA7&lt;0),"Строительство",""),IF(OR(AB7="",AB7&lt;0),"Налоги и резерв",""),IF(OR(AC7="",AC7&lt;0),"Ожидаемая продажа",""),IF(OR(AD7="",AD7&lt;=0),"Капитал инвестора",""),IF(OR(AE7="",AE7&lt;=0,AE7&gt;600),"Срок в месяцах",""),IF(OR(AF7="",AF7&lt;0,AF7&gt;100),"Приоритетная доходность",""),IF(OR(AG7="",AG7&lt;0,AG7&gt;100),"Доля платформы",""),IF(AND(Z7&lt;&gt;"",AA7&lt;&gt;"",AB7&lt;&gt;"",AD7&lt;&gt;"",OR((Z7+AA7+AB7)&lt;=0,AD7&gt;(Z7+AA7+AB7))),"Капитал инвестора больше бюджета",""))))</f>
        <v/>
      </c>
      <c r="AU7" s="35">
        <f>IF(NOT(COUNTA(A7:AS7)&gt;0),"",IF(TEXTJOIN(", ",TRUE,IF(AO7="","Описание",""),IF(AND(AL7&lt;&gt;"",AL7&gt;=1,AL7&lt;5),"Фото меньше 5",""),IF(AN7="","Видео",""),IF(H7="","Кадастровый номер",""),IF(AM7="","Ссылка на фото",""),IF(W7="","Цель продавца",""),IF(AJ7="","Лицензия",""),IF(AK7="","Допущения и источники",""))="","",TEXTJOIN(", ",TRUE,IF(AO7="","Описание",""),IF(AND(AL7&lt;&gt;"",AL7&gt;=1,AL7&lt;5),"Фото меньше 5",""),IF(AN7="","Видео",""),IF(H7="","Кадастровый номер",""),IF(AM7="","Ссылка на фото",""),IF(W7="","Цель продавца",""),IF(AJ7="","Лицензия",""),IF(AK7="","Допущения и источники",""))))</f>
        <v/>
      </c>
      <c r="AV7" s="35">
        <f>IF(NOT(COUNTA(A7:AS7)&gt;0),"",IF(AT7="","Можно публиковать","Не хватает"))</f>
        <v/>
      </c>
    </row>
    <row r="8" ht="22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7" t="n"/>
      <c r="L8" s="37" t="n"/>
      <c r="M8" s="38" t="n"/>
      <c r="N8" s="38" t="n"/>
      <c r="O8" s="38" t="n"/>
      <c r="P8" s="38" t="n"/>
      <c r="Q8" s="38" t="n"/>
      <c r="R8" s="38" t="n"/>
      <c r="S8" s="36" t="n"/>
      <c r="T8" s="36" t="n"/>
      <c r="U8" s="36" t="n"/>
      <c r="V8" s="36" t="n"/>
      <c r="W8" s="36" t="n"/>
      <c r="X8" s="37" t="n"/>
      <c r="Y8" s="37" t="n"/>
      <c r="Z8" s="39" t="n"/>
      <c r="AA8" s="39" t="n"/>
      <c r="AB8" s="39" t="n"/>
      <c r="AC8" s="39" t="n"/>
      <c r="AD8" s="39" t="n"/>
      <c r="AE8" s="38" t="n"/>
      <c r="AF8" s="44" t="n"/>
      <c r="AG8" s="44" t="n"/>
      <c r="AH8" s="43">
        <f>IF(AND(Z8&lt;&gt;"",AA8&lt;&gt;"",AB8&lt;&gt;""),Z8+AA8+AB8,"")</f>
        <v/>
      </c>
      <c r="AI8" s="43">
        <f>IF(AND(AND(Z8&lt;&gt;"",AA8&lt;&gt;"",AB8&lt;&gt;""),AC8&lt;&gt;""),AC8-(Z8+AA8+AB8),"")</f>
        <v/>
      </c>
      <c r="AJ8" s="36" t="n"/>
      <c r="AK8" s="36" t="n"/>
      <c r="AL8" s="38" t="n"/>
      <c r="AM8" s="36" t="n"/>
      <c r="AN8" s="36" t="n"/>
      <c r="AO8" s="36" t="n"/>
      <c r="AP8" s="36" t="n"/>
      <c r="AQ8" s="36" t="n"/>
      <c r="AR8" s="36" t="n"/>
      <c r="AS8" s="36" t="n"/>
      <c r="AT8" s="35">
        <f>IF(NOT(COUNTA(A8:AS8)&gt;0),"",IF(TEXTJOIN(", ",TRUE,IF(B8="","Название",""),IF(C8="","Тип недвижимости",""),IF(D8="","Страна",""),IF(E8="","Город",""),IF(F8="","Улица",""),IF(I8="","Валюта",""),IF(OR(AL8="",AL8&lt;1),"Хотя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земли",""),IF(OR(AQ8="",AQ8="Нет"),"Право собственности",""),IF(OR(AR8="",AR8="Нет"),"Справка об отсутствии обременений",""),IF(OR(X8="",X8&lt;=0),"Площадь участка проекта",""),IF(OR(Y8="",Y8&lt;=0),"Площадь строительства",""),IF(OR(Z8="",Z8&lt;0),"Стоимость участка",""),IF(OR(AA8="",AA8&lt;0),"Строительство",""),IF(OR(AB8="",AB8&lt;0),"Налоги и резерв",""),IF(OR(AC8="",AC8&lt;0),"Ожидаемая продажа",""),IF(OR(AD8="",AD8&lt;=0),"Капитал инвестора",""),IF(OR(AE8="",AE8&lt;=0,AE8&gt;600),"Срок в месяцах",""),IF(OR(AF8="",AF8&lt;0,AF8&gt;100),"Приоритетная доходность",""),IF(OR(AG8="",AG8&lt;0,AG8&gt;100),"Доля платформы",""),IF(AND(Z8&lt;&gt;"",AA8&lt;&gt;"",AB8&lt;&gt;"",AD8&lt;&gt;"",OR((Z8+AA8+AB8)&lt;=0,AD8&gt;(Z8+AA8+AB8))),"Капитал инвестора больше бюджета",""))="","",TEXTJOIN(", ",TRUE,IF(B8="","Название",""),IF(C8="","Тип недвижимости",""),IF(D8="","Страна",""),IF(E8="","Город",""),IF(F8="","Улица",""),IF(I8="","Валюта",""),IF(OR(AL8="",AL8&lt;1),"Хотя бы 1 фото",""),IF(AND(OR(C8="Квартира",C8="Апартаменты",C8="Дом",C8="Вилла",C8="Коммерческая"),J8=""),"Площадь",""),IF(AND(OR(C8="Квартира",C8="Апартаменты"),K8=""),"Жилая площадь",""),IF(AND(OR(C8="Дом",C8="Вилла",C8="Земля"),L8=""),"Площадь участка",""),IF(AND(OR(C8="Квартира",C8="Апартаменты"),M8=""),"Комнаты",""),IF(AND(OR(C8="Дом",C8="Вилла"),N8=""),"Спальни",""),IF(AND(OR(C8="Квартира",C8="Апартаменты",C8="Дом",C8="Вилла"),O8=""),"Ванные",""),IF(AND(OR(C8="Квартира",C8="Апартаменты"),P8=""),"Этаж",""),IF(AND(OR(OR(C8="Квартира",C8="Апартаменты"),OR(C8="Дом",C8="Вилла")),Q8=""),"Этажей",""),IF(AND(OR(OR(C8="Квартира",C8="Апартаменты"),OR(C8="Дом",C8="Вилла")),OR(R8="",R8&gt;YEAR(TODAY()))),"Год постройки",""),IF(AND(P8&lt;&gt;"",Q8&lt;&gt;"",P8&gt;Q8),"Этаж больше этажности",""),IF(AND(OR(C8="Квартира",C8="Апартаменты",C8="Дом",C8="Вилла"),S8=""),"Материал",""),IF(AND(OR(C8="Коммерческая"),U8=""),"Тип коммерции",""),IF(AND(OR(C8="Земля"),V8=""),"Назначение земли",""),IF(OR(AQ8="",AQ8="Нет"),"Право собственности",""),IF(OR(AR8="",AR8="Нет"),"Справка об отсутствии обременений",""),IF(OR(X8="",X8&lt;=0),"Площадь участка проекта",""),IF(OR(Y8="",Y8&lt;=0),"Площадь строительства",""),IF(OR(Z8="",Z8&lt;0),"Стоимость участка",""),IF(OR(AA8="",AA8&lt;0),"Строительство",""),IF(OR(AB8="",AB8&lt;0),"Налоги и резерв",""),IF(OR(AC8="",AC8&lt;0),"Ожидаемая продажа",""),IF(OR(AD8="",AD8&lt;=0),"Капитал инвестора",""),IF(OR(AE8="",AE8&lt;=0,AE8&gt;600),"Срок в месяцах",""),IF(OR(AF8="",AF8&lt;0,AF8&gt;100),"Приоритетная доходность",""),IF(OR(AG8="",AG8&lt;0,AG8&gt;100),"Доля платформы",""),IF(AND(Z8&lt;&gt;"",AA8&lt;&gt;"",AB8&lt;&gt;"",AD8&lt;&gt;"",OR((Z8+AA8+AB8)&lt;=0,AD8&gt;(Z8+AA8+AB8))),"Капитал инвестора больше бюджета",""))))</f>
        <v/>
      </c>
      <c r="AU8" s="35">
        <f>IF(NOT(COUNTA(A8:AS8)&gt;0),"",IF(TEXTJOIN(", ",TRUE,IF(AO8="","Описание",""),IF(AND(AL8&lt;&gt;"",AL8&gt;=1,AL8&lt;5),"Фото меньше 5",""),IF(AN8="","Видео",""),IF(H8="","Кадастровый номер",""),IF(AM8="","Ссылка на фото",""),IF(W8="","Цель продавца",""),IF(AJ8="","Лицензия",""),IF(AK8="","Допущения и источники",""))="","",TEXTJOIN(", ",TRUE,IF(AO8="","Описание",""),IF(AND(AL8&lt;&gt;"",AL8&gt;=1,AL8&lt;5),"Фото меньше 5",""),IF(AN8="","Видео",""),IF(H8="","Кадастровый номер",""),IF(AM8="","Ссылка на фото",""),IF(W8="","Цель продавца",""),IF(AJ8="","Лицензия",""),IF(AK8="","Допущения и источники",""))))</f>
        <v/>
      </c>
      <c r="AV8" s="35">
        <f>IF(NOT(COUNTA(A8:AS8)&gt;0),"",IF(AT8="","Можно публиковать","Не хватает"))</f>
        <v/>
      </c>
    </row>
    <row r="9" ht="22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31" t="n"/>
      <c r="L9" s="31" t="n"/>
      <c r="M9" s="32" t="n"/>
      <c r="N9" s="32" t="n"/>
      <c r="O9" s="32" t="n"/>
      <c r="P9" s="32" t="n"/>
      <c r="Q9" s="32" t="n"/>
      <c r="R9" s="32" t="n"/>
      <c r="S9" s="30" t="n"/>
      <c r="T9" s="30" t="n"/>
      <c r="U9" s="30" t="n"/>
      <c r="V9" s="30" t="n"/>
      <c r="W9" s="30" t="n"/>
      <c r="X9" s="31" t="n"/>
      <c r="Y9" s="31" t="n"/>
      <c r="Z9" s="33" t="n"/>
      <c r="AA9" s="33" t="n"/>
      <c r="AB9" s="33" t="n"/>
      <c r="AC9" s="33" t="n"/>
      <c r="AD9" s="33" t="n"/>
      <c r="AE9" s="32" t="n"/>
      <c r="AF9" s="42" t="n"/>
      <c r="AG9" s="42" t="n"/>
      <c r="AH9" s="43">
        <f>IF(AND(Z9&lt;&gt;"",AA9&lt;&gt;"",AB9&lt;&gt;""),Z9+AA9+AB9,"")</f>
        <v/>
      </c>
      <c r="AI9" s="43">
        <f>IF(AND(AND(Z9&lt;&gt;"",AA9&lt;&gt;"",AB9&lt;&gt;""),AC9&lt;&gt;""),AC9-(Z9+AA9+AB9),"")</f>
        <v/>
      </c>
      <c r="AJ9" s="30" t="n"/>
      <c r="AK9" s="30" t="n"/>
      <c r="AL9" s="32" t="n"/>
      <c r="AM9" s="30" t="n"/>
      <c r="AN9" s="30" t="n"/>
      <c r="AO9" s="30" t="n"/>
      <c r="AP9" s="30" t="n"/>
      <c r="AQ9" s="30" t="n"/>
      <c r="AR9" s="30" t="n"/>
      <c r="AS9" s="30" t="n"/>
      <c r="AT9" s="35">
        <f>IF(NOT(COUNTA(A9:AS9)&gt;0),"",IF(TEXTJOIN(", ",TRUE,IF(B9="","Название",""),IF(C9="","Тип недвижимости",""),IF(D9="","Страна",""),IF(E9="","Город",""),IF(F9="","Улица",""),IF(I9="","Валюта",""),IF(OR(AL9="",AL9&lt;1),"Хотя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земли",""),IF(OR(AQ9="",AQ9="Нет"),"Право собственности",""),IF(OR(AR9="",AR9="Нет"),"Справка об отсутствии обременений",""),IF(OR(X9="",X9&lt;=0),"Площадь участка проекта",""),IF(OR(Y9="",Y9&lt;=0),"Площадь строительства",""),IF(OR(Z9="",Z9&lt;0),"Стоимость участка",""),IF(OR(AA9="",AA9&lt;0),"Строительство",""),IF(OR(AB9="",AB9&lt;0),"Налоги и резерв",""),IF(OR(AC9="",AC9&lt;0),"Ожидаемая продажа",""),IF(OR(AD9="",AD9&lt;=0),"Капитал инвестора",""),IF(OR(AE9="",AE9&lt;=0,AE9&gt;600),"Срок в месяцах",""),IF(OR(AF9="",AF9&lt;0,AF9&gt;100),"Приоритетная доходность",""),IF(OR(AG9="",AG9&lt;0,AG9&gt;100),"Доля платформы",""),IF(AND(Z9&lt;&gt;"",AA9&lt;&gt;"",AB9&lt;&gt;"",AD9&lt;&gt;"",OR((Z9+AA9+AB9)&lt;=0,AD9&gt;(Z9+AA9+AB9))),"Капитал инвестора больше бюджета",""))="","",TEXTJOIN(", ",TRUE,IF(B9="","Название",""),IF(C9="","Тип недвижимости",""),IF(D9="","Страна",""),IF(E9="","Город",""),IF(F9="","Улица",""),IF(I9="","Валюта",""),IF(OR(AL9="",AL9&lt;1),"Хотя бы 1 фото",""),IF(AND(OR(C9="Квартира",C9="Апартаменты",C9="Дом",C9="Вилла",C9="Коммерческая"),J9=""),"Площадь",""),IF(AND(OR(C9="Квартира",C9="Апартаменты"),K9=""),"Жилая площадь",""),IF(AND(OR(C9="Дом",C9="Вилла",C9="Земля"),L9=""),"Площадь участка",""),IF(AND(OR(C9="Квартира",C9="Апартаменты"),M9=""),"Комнаты",""),IF(AND(OR(C9="Дом",C9="Вилла"),N9=""),"Спальни",""),IF(AND(OR(C9="Квартира",C9="Апартаменты",C9="Дом",C9="Вилла"),O9=""),"Ванные",""),IF(AND(OR(C9="Квартира",C9="Апартаменты"),P9=""),"Этаж",""),IF(AND(OR(OR(C9="Квартира",C9="Апартаменты"),OR(C9="Дом",C9="Вилла")),Q9=""),"Этажей",""),IF(AND(OR(OR(C9="Квартира",C9="Апартаменты"),OR(C9="Дом",C9="Вилла")),OR(R9="",R9&gt;YEAR(TODAY()))),"Год постройки",""),IF(AND(P9&lt;&gt;"",Q9&lt;&gt;"",P9&gt;Q9),"Этаж больше этажности",""),IF(AND(OR(C9="Квартира",C9="Апартаменты",C9="Дом",C9="Вилла"),S9=""),"Материал",""),IF(AND(OR(C9="Коммерческая"),U9=""),"Тип коммерции",""),IF(AND(OR(C9="Земля"),V9=""),"Назначение земли",""),IF(OR(AQ9="",AQ9="Нет"),"Право собственности",""),IF(OR(AR9="",AR9="Нет"),"Справка об отсутствии обременений",""),IF(OR(X9="",X9&lt;=0),"Площадь участка проекта",""),IF(OR(Y9="",Y9&lt;=0),"Площадь строительства",""),IF(OR(Z9="",Z9&lt;0),"Стоимость участка",""),IF(OR(AA9="",AA9&lt;0),"Строительство",""),IF(OR(AB9="",AB9&lt;0),"Налоги и резерв",""),IF(OR(AC9="",AC9&lt;0),"Ожидаемая продажа",""),IF(OR(AD9="",AD9&lt;=0),"Капитал инвестора",""),IF(OR(AE9="",AE9&lt;=0,AE9&gt;600),"Срок в месяцах",""),IF(OR(AF9="",AF9&lt;0,AF9&gt;100),"Приоритетная доходность",""),IF(OR(AG9="",AG9&lt;0,AG9&gt;100),"Доля платформы",""),IF(AND(Z9&lt;&gt;"",AA9&lt;&gt;"",AB9&lt;&gt;"",AD9&lt;&gt;"",OR((Z9+AA9+AB9)&lt;=0,AD9&gt;(Z9+AA9+AB9))),"Капитал инвестора больше бюджета",""))))</f>
        <v/>
      </c>
      <c r="AU9" s="35">
        <f>IF(NOT(COUNTA(A9:AS9)&gt;0),"",IF(TEXTJOIN(", ",TRUE,IF(AO9="","Описание",""),IF(AND(AL9&lt;&gt;"",AL9&gt;=1,AL9&lt;5),"Фото меньше 5",""),IF(AN9="","Видео",""),IF(H9="","Кадастровый номер",""),IF(AM9="","Ссылка на фото",""),IF(W9="","Цель продавца",""),IF(AJ9="","Лицензия",""),IF(AK9="","Допущения и источники",""))="","",TEXTJOIN(", ",TRUE,IF(AO9="","Описание",""),IF(AND(AL9&lt;&gt;"",AL9&gt;=1,AL9&lt;5),"Фото меньше 5",""),IF(AN9="","Видео",""),IF(H9="","Кадастровый номер",""),IF(AM9="","Ссылка на фото",""),IF(W9="","Цель продавца",""),IF(AJ9="","Лицензия",""),IF(AK9="","Допущения и источники",""))))</f>
        <v/>
      </c>
      <c r="AV9" s="35">
        <f>IF(NOT(COUNTA(A9:AS9)&gt;0),"",IF(AT9="","Можно публиковать","Не хватает"))</f>
        <v/>
      </c>
    </row>
    <row r="10" ht="22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7" t="n"/>
      <c r="L10" s="37" t="n"/>
      <c r="M10" s="38" t="n"/>
      <c r="N10" s="38" t="n"/>
      <c r="O10" s="38" t="n"/>
      <c r="P10" s="38" t="n"/>
      <c r="Q10" s="38" t="n"/>
      <c r="R10" s="38" t="n"/>
      <c r="S10" s="36" t="n"/>
      <c r="T10" s="36" t="n"/>
      <c r="U10" s="36" t="n"/>
      <c r="V10" s="36" t="n"/>
      <c r="W10" s="36" t="n"/>
      <c r="X10" s="37" t="n"/>
      <c r="Y10" s="37" t="n"/>
      <c r="Z10" s="39" t="n"/>
      <c r="AA10" s="39" t="n"/>
      <c r="AB10" s="39" t="n"/>
      <c r="AC10" s="39" t="n"/>
      <c r="AD10" s="39" t="n"/>
      <c r="AE10" s="38" t="n"/>
      <c r="AF10" s="44" t="n"/>
      <c r="AG10" s="44" t="n"/>
      <c r="AH10" s="43">
        <f>IF(AND(Z10&lt;&gt;"",AA10&lt;&gt;"",AB10&lt;&gt;""),Z10+AA10+AB10,"")</f>
        <v/>
      </c>
      <c r="AI10" s="43">
        <f>IF(AND(AND(Z10&lt;&gt;"",AA10&lt;&gt;"",AB10&lt;&gt;""),AC10&lt;&gt;""),AC10-(Z10+AA10+AB10),"")</f>
        <v/>
      </c>
      <c r="AJ10" s="36" t="n"/>
      <c r="AK10" s="36" t="n"/>
      <c r="AL10" s="38" t="n"/>
      <c r="AM10" s="36" t="n"/>
      <c r="AN10" s="36" t="n"/>
      <c r="AO10" s="36" t="n"/>
      <c r="AP10" s="36" t="n"/>
      <c r="AQ10" s="36" t="n"/>
      <c r="AR10" s="36" t="n"/>
      <c r="AS10" s="36" t="n"/>
      <c r="AT10" s="35">
        <f>IF(NOT(COUNTA(A10:AS10)&gt;0),"",IF(TEXTJOIN(", ",TRUE,IF(B10="","Название",""),IF(C10="","Тип недвижимости",""),IF(D10="","Страна",""),IF(E10="","Город",""),IF(F10="","Улица",""),IF(I10="","Валюта",""),IF(OR(AL10="",AL10&lt;1),"Хотя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земли",""),IF(OR(AQ10="",AQ10="Нет"),"Право собственности",""),IF(OR(AR10="",AR10="Нет"),"Справка об отсутствии обременений",""),IF(OR(X10="",X10&lt;=0),"Площадь участка проекта",""),IF(OR(Y10="",Y10&lt;=0),"Площадь строительства",""),IF(OR(Z10="",Z10&lt;0),"Стоимость участка",""),IF(OR(AA10="",AA10&lt;0),"Строительство",""),IF(OR(AB10="",AB10&lt;0),"Налоги и резерв",""),IF(OR(AC10="",AC10&lt;0),"Ожидаемая продажа",""),IF(OR(AD10="",AD10&lt;=0),"Капитал инвестора",""),IF(OR(AE10="",AE10&lt;=0,AE10&gt;600),"Срок в месяцах",""),IF(OR(AF10="",AF10&lt;0,AF10&gt;100),"Приоритетная доходность",""),IF(OR(AG10="",AG10&lt;0,AG10&gt;100),"Доля платформы",""),IF(AND(Z10&lt;&gt;"",AA10&lt;&gt;"",AB10&lt;&gt;"",AD10&lt;&gt;"",OR((Z10+AA10+AB10)&lt;=0,AD10&gt;(Z10+AA10+AB10))),"Капитал инвестора больше бюджета",""))="","",TEXTJOIN(", ",TRUE,IF(B10="","Название",""),IF(C10="","Тип недвижимости",""),IF(D10="","Страна",""),IF(E10="","Город",""),IF(F10="","Улица",""),IF(I10="","Валюта",""),IF(OR(AL10="",AL10&lt;1),"Хотя бы 1 фото",""),IF(AND(OR(C10="Квартира",C10="Апартаменты",C10="Дом",C10="Вилла",C10="Коммерческая"),J10=""),"Площадь",""),IF(AND(OR(C10="Квартира",C10="Апартаменты"),K10=""),"Жилая площадь",""),IF(AND(OR(C10="Дом",C10="Вилла",C10="Земля"),L10=""),"Площадь участка",""),IF(AND(OR(C10="Квартира",C10="Апартаменты"),M10=""),"Комнаты",""),IF(AND(OR(C10="Дом",C10="Вилла"),N10=""),"Спальни",""),IF(AND(OR(C10="Квартира",C10="Апартаменты",C10="Дом",C10="Вилла"),O10=""),"Ванные",""),IF(AND(OR(C10="Квартира",C10="Апартаменты"),P10=""),"Этаж",""),IF(AND(OR(OR(C10="Квартира",C10="Апартаменты"),OR(C10="Дом",C10="Вилла")),Q10=""),"Этажей",""),IF(AND(OR(OR(C10="Квартира",C10="Апартаменты"),OR(C10="Дом",C10="Вилла")),OR(R10="",R10&gt;YEAR(TODAY()))),"Год постройки",""),IF(AND(P10&lt;&gt;"",Q10&lt;&gt;"",P10&gt;Q10),"Этаж больше этажности",""),IF(AND(OR(C10="Квартира",C10="Апартаменты",C10="Дом",C10="Вилла"),S10=""),"Материал",""),IF(AND(OR(C10="Коммерческая"),U10=""),"Тип коммерции",""),IF(AND(OR(C10="Земля"),V10=""),"Назначение земли",""),IF(OR(AQ10="",AQ10="Нет"),"Право собственности",""),IF(OR(AR10="",AR10="Нет"),"Справка об отсутствии обременений",""),IF(OR(X10="",X10&lt;=0),"Площадь участка проекта",""),IF(OR(Y10="",Y10&lt;=0),"Площадь строительства",""),IF(OR(Z10="",Z10&lt;0),"Стоимость участка",""),IF(OR(AA10="",AA10&lt;0),"Строительство",""),IF(OR(AB10="",AB10&lt;0),"Налоги и резерв",""),IF(OR(AC10="",AC10&lt;0),"Ожидаемая продажа",""),IF(OR(AD10="",AD10&lt;=0),"Капитал инвестора",""),IF(OR(AE10="",AE10&lt;=0,AE10&gt;600),"Срок в месяцах",""),IF(OR(AF10="",AF10&lt;0,AF10&gt;100),"Приоритетная доходность",""),IF(OR(AG10="",AG10&lt;0,AG10&gt;100),"Доля платформы",""),IF(AND(Z10&lt;&gt;"",AA10&lt;&gt;"",AB10&lt;&gt;"",AD10&lt;&gt;"",OR((Z10+AA10+AB10)&lt;=0,AD10&gt;(Z10+AA10+AB10))),"Капитал инвестора больше бюджета",""))))</f>
        <v/>
      </c>
      <c r="AU10" s="35">
        <f>IF(NOT(COUNTA(A10:AS10)&gt;0),"",IF(TEXTJOIN(", ",TRUE,IF(AO10="","Описание",""),IF(AND(AL10&lt;&gt;"",AL10&gt;=1,AL10&lt;5),"Фото меньше 5",""),IF(AN10="","Видео",""),IF(H10="","Кадастровый номер",""),IF(AM10="","Ссылка на фото",""),IF(W10="","Цель продавца",""),IF(AJ10="","Лицензия",""),IF(AK10="","Допущения и источники",""))="","",TEXTJOIN(", ",TRUE,IF(AO10="","Описание",""),IF(AND(AL10&lt;&gt;"",AL10&gt;=1,AL10&lt;5),"Фото меньше 5",""),IF(AN10="","Видео",""),IF(H10="","Кадастровый номер",""),IF(AM10="","Ссылка на фото",""),IF(W10="","Цель продавца",""),IF(AJ10="","Лицензия",""),IF(AK10="","Допущения и источники",""))))</f>
        <v/>
      </c>
      <c r="AV10" s="35">
        <f>IF(NOT(COUNTA(A10:AS10)&gt;0),"",IF(AT10="","Можно публиковать","Не хватает"))</f>
        <v/>
      </c>
    </row>
    <row r="11" ht="22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 t="n"/>
      <c r="K11" s="31" t="n"/>
      <c r="L11" s="31" t="n"/>
      <c r="M11" s="32" t="n"/>
      <c r="N11" s="32" t="n"/>
      <c r="O11" s="32" t="n"/>
      <c r="P11" s="32" t="n"/>
      <c r="Q11" s="32" t="n"/>
      <c r="R11" s="32" t="n"/>
      <c r="S11" s="30" t="n"/>
      <c r="T11" s="30" t="n"/>
      <c r="U11" s="30" t="n"/>
      <c r="V11" s="30" t="n"/>
      <c r="W11" s="30" t="n"/>
      <c r="X11" s="31" t="n"/>
      <c r="Y11" s="31" t="n"/>
      <c r="Z11" s="33" t="n"/>
      <c r="AA11" s="33" t="n"/>
      <c r="AB11" s="33" t="n"/>
      <c r="AC11" s="33" t="n"/>
      <c r="AD11" s="33" t="n"/>
      <c r="AE11" s="32" t="n"/>
      <c r="AF11" s="42" t="n"/>
      <c r="AG11" s="42" t="n"/>
      <c r="AH11" s="43">
        <f>IF(AND(Z11&lt;&gt;"",AA11&lt;&gt;"",AB11&lt;&gt;""),Z11+AA11+AB11,"")</f>
        <v/>
      </c>
      <c r="AI11" s="43">
        <f>IF(AND(AND(Z11&lt;&gt;"",AA11&lt;&gt;"",AB11&lt;&gt;""),AC11&lt;&gt;""),AC11-(Z11+AA11+AB11),"")</f>
        <v/>
      </c>
      <c r="AJ11" s="30" t="n"/>
      <c r="AK11" s="30" t="n"/>
      <c r="AL11" s="32" t="n"/>
      <c r="AM11" s="30" t="n"/>
      <c r="AN11" s="30" t="n"/>
      <c r="AO11" s="30" t="n"/>
      <c r="AP11" s="30" t="n"/>
      <c r="AQ11" s="30" t="n"/>
      <c r="AR11" s="30" t="n"/>
      <c r="AS11" s="30" t="n"/>
      <c r="AT11" s="35">
        <f>IF(NOT(COUNTA(A11:AS11)&gt;0),"",IF(TEXTJOIN(", ",TRUE,IF(B11="","Название",""),IF(C11="","Тип недвижимости",""),IF(D11="","Страна",""),IF(E11="","Город",""),IF(F11="","Улица",""),IF(I11="","Валюта",""),IF(OR(AL11="",AL11&lt;1),"Хотя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земли",""),IF(OR(AQ11="",AQ11="Нет"),"Право собственности",""),IF(OR(AR11="",AR11="Нет"),"Справка об отсутствии обременений",""),IF(OR(X11="",X11&lt;=0),"Площадь участка проекта",""),IF(OR(Y11="",Y11&lt;=0),"Площадь строительства",""),IF(OR(Z11="",Z11&lt;0),"Стоимость участка",""),IF(OR(AA11="",AA11&lt;0),"Строительство",""),IF(OR(AB11="",AB11&lt;0),"Налоги и резерв",""),IF(OR(AC11="",AC11&lt;0),"Ожидаемая продажа",""),IF(OR(AD11="",AD11&lt;=0),"Капитал инвестора",""),IF(OR(AE11="",AE11&lt;=0,AE11&gt;600),"Срок в месяцах",""),IF(OR(AF11="",AF11&lt;0,AF11&gt;100),"Приоритетная доходность",""),IF(OR(AG11="",AG11&lt;0,AG11&gt;100),"Доля платформы",""),IF(AND(Z11&lt;&gt;"",AA11&lt;&gt;"",AB11&lt;&gt;"",AD11&lt;&gt;"",OR((Z11+AA11+AB11)&lt;=0,AD11&gt;(Z11+AA11+AB11))),"Капитал инвестора больше бюджета",""))="","",TEXTJOIN(", ",TRUE,IF(B11="","Название",""),IF(C11="","Тип недвижимости",""),IF(D11="","Страна",""),IF(E11="","Город",""),IF(F11="","Улица",""),IF(I11="","Валюта",""),IF(OR(AL11="",AL11&lt;1),"Хотя бы 1 фото",""),IF(AND(OR(C11="Квартира",C11="Апартаменты",C11="Дом",C11="Вилла",C11="Коммерческая"),J11=""),"Площадь",""),IF(AND(OR(C11="Квартира",C11="Апартаменты"),K11=""),"Жилая площадь",""),IF(AND(OR(C11="Дом",C11="Вилла",C11="Земля"),L11=""),"Площадь участка",""),IF(AND(OR(C11="Квартира",C11="Апартаменты"),M11=""),"Комнаты",""),IF(AND(OR(C11="Дом",C11="Вилла"),N11=""),"Спальни",""),IF(AND(OR(C11="Квартира",C11="Апартаменты",C11="Дом",C11="Вилла"),O11=""),"Ванные",""),IF(AND(OR(C11="Квартира",C11="Апартаменты"),P11=""),"Этаж",""),IF(AND(OR(OR(C11="Квартира",C11="Апартаменты"),OR(C11="Дом",C11="Вилла")),Q11=""),"Этажей",""),IF(AND(OR(OR(C11="Квартира",C11="Апартаменты"),OR(C11="Дом",C11="Вилла")),OR(R11="",R11&gt;YEAR(TODAY()))),"Год постройки",""),IF(AND(P11&lt;&gt;"",Q11&lt;&gt;"",P11&gt;Q11),"Этаж больше этажности",""),IF(AND(OR(C11="Квартира",C11="Апартаменты",C11="Дом",C11="Вилла"),S11=""),"Материал",""),IF(AND(OR(C11="Коммерческая"),U11=""),"Тип коммерции",""),IF(AND(OR(C11="Земля"),V11=""),"Назначение земли",""),IF(OR(AQ11="",AQ11="Нет"),"Право собственности",""),IF(OR(AR11="",AR11="Нет"),"Справка об отсутствии обременений",""),IF(OR(X11="",X11&lt;=0),"Площадь участка проекта",""),IF(OR(Y11="",Y11&lt;=0),"Площадь строительства",""),IF(OR(Z11="",Z11&lt;0),"Стоимость участка",""),IF(OR(AA11="",AA11&lt;0),"Строительство",""),IF(OR(AB11="",AB11&lt;0),"Налоги и резерв",""),IF(OR(AC11="",AC11&lt;0),"Ожидаемая продажа",""),IF(OR(AD11="",AD11&lt;=0),"Капитал инвестора",""),IF(OR(AE11="",AE11&lt;=0,AE11&gt;600),"Срок в месяцах",""),IF(OR(AF11="",AF11&lt;0,AF11&gt;100),"Приоритетная доходность",""),IF(OR(AG11="",AG11&lt;0,AG11&gt;100),"Доля платформы",""),IF(AND(Z11&lt;&gt;"",AA11&lt;&gt;"",AB11&lt;&gt;"",AD11&lt;&gt;"",OR((Z11+AA11+AB11)&lt;=0,AD11&gt;(Z11+AA11+AB11))),"Капитал инвестора больше бюджета",""))))</f>
        <v/>
      </c>
      <c r="AU11" s="35">
        <f>IF(NOT(COUNTA(A11:AS11)&gt;0),"",IF(TEXTJOIN(", ",TRUE,IF(AO11="","Описание",""),IF(AND(AL11&lt;&gt;"",AL11&gt;=1,AL11&lt;5),"Фото меньше 5",""),IF(AN11="","Видео",""),IF(H11="","Кадастровый номер",""),IF(AM11="","Ссылка на фото",""),IF(W11="","Цель продавца",""),IF(AJ11="","Лицензия",""),IF(AK11="","Допущения и источники",""))="","",TEXTJOIN(", ",TRUE,IF(AO11="","Описание",""),IF(AND(AL11&lt;&gt;"",AL11&gt;=1,AL11&lt;5),"Фото меньше 5",""),IF(AN11="","Видео",""),IF(H11="","Кадастровый номер",""),IF(AM11="","Ссылка на фото",""),IF(W11="","Цель продавца",""),IF(AJ11="","Лицензия",""),IF(AK11="","Допущения и источники",""))))</f>
        <v/>
      </c>
      <c r="AV11" s="35">
        <f>IF(NOT(COUNTA(A11:AS11)&gt;0),"",IF(AT11="","Можно публиковать","Не хватает"))</f>
        <v/>
      </c>
    </row>
    <row r="12" ht="22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7" t="n"/>
      <c r="K12" s="37" t="n"/>
      <c r="L12" s="37" t="n"/>
      <c r="M12" s="38" t="n"/>
      <c r="N12" s="38" t="n"/>
      <c r="O12" s="38" t="n"/>
      <c r="P12" s="38" t="n"/>
      <c r="Q12" s="38" t="n"/>
      <c r="R12" s="38" t="n"/>
      <c r="S12" s="36" t="n"/>
      <c r="T12" s="36" t="n"/>
      <c r="U12" s="36" t="n"/>
      <c r="V12" s="36" t="n"/>
      <c r="W12" s="36" t="n"/>
      <c r="X12" s="37" t="n"/>
      <c r="Y12" s="37" t="n"/>
      <c r="Z12" s="39" t="n"/>
      <c r="AA12" s="39" t="n"/>
      <c r="AB12" s="39" t="n"/>
      <c r="AC12" s="39" t="n"/>
      <c r="AD12" s="39" t="n"/>
      <c r="AE12" s="38" t="n"/>
      <c r="AF12" s="44" t="n"/>
      <c r="AG12" s="44" t="n"/>
      <c r="AH12" s="43">
        <f>IF(AND(Z12&lt;&gt;"",AA12&lt;&gt;"",AB12&lt;&gt;""),Z12+AA12+AB12,"")</f>
        <v/>
      </c>
      <c r="AI12" s="43">
        <f>IF(AND(AND(Z12&lt;&gt;"",AA12&lt;&gt;"",AB12&lt;&gt;""),AC12&lt;&gt;""),AC12-(Z12+AA12+AB12),"")</f>
        <v/>
      </c>
      <c r="AJ12" s="36" t="n"/>
      <c r="AK12" s="36" t="n"/>
      <c r="AL12" s="38" t="n"/>
      <c r="AM12" s="36" t="n"/>
      <c r="AN12" s="36" t="n"/>
      <c r="AO12" s="36" t="n"/>
      <c r="AP12" s="36" t="n"/>
      <c r="AQ12" s="36" t="n"/>
      <c r="AR12" s="36" t="n"/>
      <c r="AS12" s="36" t="n"/>
      <c r="AT12" s="35">
        <f>IF(NOT(COUNTA(A12:AS12)&gt;0),"",IF(TEXTJOIN(", ",TRUE,IF(B12="","Название",""),IF(C12="","Тип недвижимости",""),IF(D12="","Страна",""),IF(E12="","Город",""),IF(F12="","Улица",""),IF(I12="","Валюта",""),IF(OR(AL12="",AL12&lt;1),"Хотя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земли",""),IF(OR(AQ12="",AQ12="Нет"),"Право собственности",""),IF(OR(AR12="",AR12="Нет"),"Справка об отсутствии обременений",""),IF(OR(X12="",X12&lt;=0),"Площадь участка проекта",""),IF(OR(Y12="",Y12&lt;=0),"Площадь строительства",""),IF(OR(Z12="",Z12&lt;0),"Стоимость участка",""),IF(OR(AA12="",AA12&lt;0),"Строительство",""),IF(OR(AB12="",AB12&lt;0),"Налоги и резерв",""),IF(OR(AC12="",AC12&lt;0),"Ожидаемая продажа",""),IF(OR(AD12="",AD12&lt;=0),"Капитал инвестора",""),IF(OR(AE12="",AE12&lt;=0,AE12&gt;600),"Срок в месяцах",""),IF(OR(AF12="",AF12&lt;0,AF12&gt;100),"Приоритетная доходность",""),IF(OR(AG12="",AG12&lt;0,AG12&gt;100),"Доля платформы",""),IF(AND(Z12&lt;&gt;"",AA12&lt;&gt;"",AB12&lt;&gt;"",AD12&lt;&gt;"",OR((Z12+AA12+AB12)&lt;=0,AD12&gt;(Z12+AA12+AB12))),"Капитал инвестора больше бюджета",""))="","",TEXTJOIN(", ",TRUE,IF(B12="","Название",""),IF(C12="","Тип недвижимости",""),IF(D12="","Страна",""),IF(E12="","Город",""),IF(F12="","Улица",""),IF(I12="","Валюта",""),IF(OR(AL12="",AL12&lt;1),"Хотя бы 1 фото",""),IF(AND(OR(C12="Квартира",C12="Апартаменты",C12="Дом",C12="Вилла",C12="Коммерческая"),J12=""),"Площадь",""),IF(AND(OR(C12="Квартира",C12="Апартаменты"),K12=""),"Жилая площадь",""),IF(AND(OR(C12="Дом",C12="Вилла",C12="Земля"),L12=""),"Площадь участка",""),IF(AND(OR(C12="Квартира",C12="Апартаменты"),M12=""),"Комнаты",""),IF(AND(OR(C12="Дом",C12="Вилла"),N12=""),"Спальни",""),IF(AND(OR(C12="Квартира",C12="Апартаменты",C12="Дом",C12="Вилла"),O12=""),"Ванные",""),IF(AND(OR(C12="Квартира",C12="Апартаменты"),P12=""),"Этаж",""),IF(AND(OR(OR(C12="Квартира",C12="Апартаменты"),OR(C12="Дом",C12="Вилла")),Q12=""),"Этажей",""),IF(AND(OR(OR(C12="Квартира",C12="Апартаменты"),OR(C12="Дом",C12="Вилла")),OR(R12="",R12&gt;YEAR(TODAY()))),"Год постройки",""),IF(AND(P12&lt;&gt;"",Q12&lt;&gt;"",P12&gt;Q12),"Этаж больше этажности",""),IF(AND(OR(C12="Квартира",C12="Апартаменты",C12="Дом",C12="Вилла"),S12=""),"Материал",""),IF(AND(OR(C12="Коммерческая"),U12=""),"Тип коммерции",""),IF(AND(OR(C12="Земля"),V12=""),"Назначение земли",""),IF(OR(AQ12="",AQ12="Нет"),"Право собственности",""),IF(OR(AR12="",AR12="Нет"),"Справка об отсутствии обременений",""),IF(OR(X12="",X12&lt;=0),"Площадь участка проекта",""),IF(OR(Y12="",Y12&lt;=0),"Площадь строительства",""),IF(OR(Z12="",Z12&lt;0),"Стоимость участка",""),IF(OR(AA12="",AA12&lt;0),"Строительство",""),IF(OR(AB12="",AB12&lt;0),"Налоги и резерв",""),IF(OR(AC12="",AC12&lt;0),"Ожидаемая продажа",""),IF(OR(AD12="",AD12&lt;=0),"Капитал инвестора",""),IF(OR(AE12="",AE12&lt;=0,AE12&gt;600),"Срок в месяцах",""),IF(OR(AF12="",AF12&lt;0,AF12&gt;100),"Приоритетная доходность",""),IF(OR(AG12="",AG12&lt;0,AG12&gt;100),"Доля платформы",""),IF(AND(Z12&lt;&gt;"",AA12&lt;&gt;"",AB12&lt;&gt;"",AD12&lt;&gt;"",OR((Z12+AA12+AB12)&lt;=0,AD12&gt;(Z12+AA12+AB12))),"Капитал инвестора больше бюджета",""))))</f>
        <v/>
      </c>
      <c r="AU12" s="35">
        <f>IF(NOT(COUNTA(A12:AS12)&gt;0),"",IF(TEXTJOIN(", ",TRUE,IF(AO12="","Описание",""),IF(AND(AL12&lt;&gt;"",AL12&gt;=1,AL12&lt;5),"Фото меньше 5",""),IF(AN12="","Видео",""),IF(H12="","Кадастровый номер",""),IF(AM12="","Ссылка на фото",""),IF(W12="","Цель продавца",""),IF(AJ12="","Лицензия",""),IF(AK12="","Допущения и источники",""))="","",TEXTJOIN(", ",TRUE,IF(AO12="","Описание",""),IF(AND(AL12&lt;&gt;"",AL12&gt;=1,AL12&lt;5),"Фото меньше 5",""),IF(AN12="","Видео",""),IF(H12="","Кадастровый номер",""),IF(AM12="","Ссылка на фото",""),IF(W12="","Цель продавца",""),IF(AJ12="","Лицензия",""),IF(AK12="","Допущения и источники",""))))</f>
        <v/>
      </c>
      <c r="AV12" s="35">
        <f>IF(NOT(COUNTA(A12:AS12)&gt;0),"",IF(AT12="","Можно публиковать","Не хватает"))</f>
        <v/>
      </c>
    </row>
    <row r="13" ht="22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31" t="n"/>
      <c r="L13" s="31" t="n"/>
      <c r="M13" s="32" t="n"/>
      <c r="N13" s="32" t="n"/>
      <c r="O13" s="32" t="n"/>
      <c r="P13" s="32" t="n"/>
      <c r="Q13" s="32" t="n"/>
      <c r="R13" s="32" t="n"/>
      <c r="S13" s="30" t="n"/>
      <c r="T13" s="30" t="n"/>
      <c r="U13" s="30" t="n"/>
      <c r="V13" s="30" t="n"/>
      <c r="W13" s="30" t="n"/>
      <c r="X13" s="31" t="n"/>
      <c r="Y13" s="31" t="n"/>
      <c r="Z13" s="33" t="n"/>
      <c r="AA13" s="33" t="n"/>
      <c r="AB13" s="33" t="n"/>
      <c r="AC13" s="33" t="n"/>
      <c r="AD13" s="33" t="n"/>
      <c r="AE13" s="32" t="n"/>
      <c r="AF13" s="42" t="n"/>
      <c r="AG13" s="42" t="n"/>
      <c r="AH13" s="43">
        <f>IF(AND(Z13&lt;&gt;"",AA13&lt;&gt;"",AB13&lt;&gt;""),Z13+AA13+AB13,"")</f>
        <v/>
      </c>
      <c r="AI13" s="43">
        <f>IF(AND(AND(Z13&lt;&gt;"",AA13&lt;&gt;"",AB13&lt;&gt;""),AC13&lt;&gt;""),AC13-(Z13+AA13+AB13),"")</f>
        <v/>
      </c>
      <c r="AJ13" s="30" t="n"/>
      <c r="AK13" s="30" t="n"/>
      <c r="AL13" s="32" t="n"/>
      <c r="AM13" s="30" t="n"/>
      <c r="AN13" s="30" t="n"/>
      <c r="AO13" s="30" t="n"/>
      <c r="AP13" s="30" t="n"/>
      <c r="AQ13" s="30" t="n"/>
      <c r="AR13" s="30" t="n"/>
      <c r="AS13" s="30" t="n"/>
      <c r="AT13" s="35">
        <f>IF(NOT(COUNTA(A13:AS13)&gt;0),"",IF(TEXTJOIN(", ",TRUE,IF(B13="","Название",""),IF(C13="","Тип недвижимости",""),IF(D13="","Страна",""),IF(E13="","Город",""),IF(F13="","Улица",""),IF(I13="","Валюта",""),IF(OR(AL13="",AL13&lt;1),"Хотя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земли",""),IF(OR(AQ13="",AQ13="Нет"),"Право собственности",""),IF(OR(AR13="",AR13="Нет"),"Справка об отсутствии обременений",""),IF(OR(X13="",X13&lt;=0),"Площадь участка проекта",""),IF(OR(Y13="",Y13&lt;=0),"Площадь строительства",""),IF(OR(Z13="",Z13&lt;0),"Стоимость участка",""),IF(OR(AA13="",AA13&lt;0),"Строительство",""),IF(OR(AB13="",AB13&lt;0),"Налоги и резерв",""),IF(OR(AC13="",AC13&lt;0),"Ожидаемая продажа",""),IF(OR(AD13="",AD13&lt;=0),"Капитал инвестора",""),IF(OR(AE13="",AE13&lt;=0,AE13&gt;600),"Срок в месяцах",""),IF(OR(AF13="",AF13&lt;0,AF13&gt;100),"Приоритетная доходность",""),IF(OR(AG13="",AG13&lt;0,AG13&gt;100),"Доля платформы",""),IF(AND(Z13&lt;&gt;"",AA13&lt;&gt;"",AB13&lt;&gt;"",AD13&lt;&gt;"",OR((Z13+AA13+AB13)&lt;=0,AD13&gt;(Z13+AA13+AB13))),"Капитал инвестора больше бюджета",""))="","",TEXTJOIN(", ",TRUE,IF(B13="","Название",""),IF(C13="","Тип недвижимости",""),IF(D13="","Страна",""),IF(E13="","Город",""),IF(F13="","Улица",""),IF(I13="","Валюта",""),IF(OR(AL13="",AL13&lt;1),"Хотя бы 1 фото",""),IF(AND(OR(C13="Квартира",C13="Апартаменты",C13="Дом",C13="Вилла",C13="Коммерческая"),J13=""),"Площадь",""),IF(AND(OR(C13="Квартира",C13="Апартаменты"),K13=""),"Жилая площадь",""),IF(AND(OR(C13="Дом",C13="Вилла",C13="Земля"),L13=""),"Площадь участка",""),IF(AND(OR(C13="Квартира",C13="Апартаменты"),M13=""),"Комнаты",""),IF(AND(OR(C13="Дом",C13="Вилла"),N13=""),"Спальни",""),IF(AND(OR(C13="Квартира",C13="Апартаменты",C13="Дом",C13="Вилла"),O13=""),"Ванные",""),IF(AND(OR(C13="Квартира",C13="Апартаменты"),P13=""),"Этаж",""),IF(AND(OR(OR(C13="Квартира",C13="Апартаменты"),OR(C13="Дом",C13="Вилла")),Q13=""),"Этажей",""),IF(AND(OR(OR(C13="Квартира",C13="Апартаменты"),OR(C13="Дом",C13="Вилла")),OR(R13="",R13&gt;YEAR(TODAY()))),"Год постройки",""),IF(AND(P13&lt;&gt;"",Q13&lt;&gt;"",P13&gt;Q13),"Этаж больше этажности",""),IF(AND(OR(C13="Квартира",C13="Апартаменты",C13="Дом",C13="Вилла"),S13=""),"Материал",""),IF(AND(OR(C13="Коммерческая"),U13=""),"Тип коммерции",""),IF(AND(OR(C13="Земля"),V13=""),"Назначение земли",""),IF(OR(AQ13="",AQ13="Нет"),"Право собственности",""),IF(OR(AR13="",AR13="Нет"),"Справка об отсутствии обременений",""),IF(OR(X13="",X13&lt;=0),"Площадь участка проекта",""),IF(OR(Y13="",Y13&lt;=0),"Площадь строительства",""),IF(OR(Z13="",Z13&lt;0),"Стоимость участка",""),IF(OR(AA13="",AA13&lt;0),"Строительство",""),IF(OR(AB13="",AB13&lt;0),"Налоги и резерв",""),IF(OR(AC13="",AC13&lt;0),"Ожидаемая продажа",""),IF(OR(AD13="",AD13&lt;=0),"Капитал инвестора",""),IF(OR(AE13="",AE13&lt;=0,AE13&gt;600),"Срок в месяцах",""),IF(OR(AF13="",AF13&lt;0,AF13&gt;100),"Приоритетная доходность",""),IF(OR(AG13="",AG13&lt;0,AG13&gt;100),"Доля платформы",""),IF(AND(Z13&lt;&gt;"",AA13&lt;&gt;"",AB13&lt;&gt;"",AD13&lt;&gt;"",OR((Z13+AA13+AB13)&lt;=0,AD13&gt;(Z13+AA13+AB13))),"Капитал инвестора больше бюджета",""))))</f>
        <v/>
      </c>
      <c r="AU13" s="35">
        <f>IF(NOT(COUNTA(A13:AS13)&gt;0),"",IF(TEXTJOIN(", ",TRUE,IF(AO13="","Описание",""),IF(AND(AL13&lt;&gt;"",AL13&gt;=1,AL13&lt;5),"Фото меньше 5",""),IF(AN13="","Видео",""),IF(H13="","Кадастровый номер",""),IF(AM13="","Ссылка на фото",""),IF(W13="","Цель продавца",""),IF(AJ13="","Лицензия",""),IF(AK13="","Допущения и источники",""))="","",TEXTJOIN(", ",TRUE,IF(AO13="","Описание",""),IF(AND(AL13&lt;&gt;"",AL13&gt;=1,AL13&lt;5),"Фото меньше 5",""),IF(AN13="","Видео",""),IF(H13="","Кадастровый номер",""),IF(AM13="","Ссылка на фото",""),IF(W13="","Цель продавца",""),IF(AJ13="","Лицензия",""),IF(AK13="","Допущения и источники",""))))</f>
        <v/>
      </c>
      <c r="AV13" s="35">
        <f>IF(NOT(COUNTA(A13:AS13)&gt;0),"",IF(AT13="","Можно публиковать","Не хватает"))</f>
        <v/>
      </c>
    </row>
    <row r="14" ht="22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7" t="n"/>
      <c r="K14" s="37" t="n"/>
      <c r="L14" s="37" t="n"/>
      <c r="M14" s="38" t="n"/>
      <c r="N14" s="38" t="n"/>
      <c r="O14" s="38" t="n"/>
      <c r="P14" s="38" t="n"/>
      <c r="Q14" s="38" t="n"/>
      <c r="R14" s="38" t="n"/>
      <c r="S14" s="36" t="n"/>
      <c r="T14" s="36" t="n"/>
      <c r="U14" s="36" t="n"/>
      <c r="V14" s="36" t="n"/>
      <c r="W14" s="36" t="n"/>
      <c r="X14" s="37" t="n"/>
      <c r="Y14" s="37" t="n"/>
      <c r="Z14" s="39" t="n"/>
      <c r="AA14" s="39" t="n"/>
      <c r="AB14" s="39" t="n"/>
      <c r="AC14" s="39" t="n"/>
      <c r="AD14" s="39" t="n"/>
      <c r="AE14" s="38" t="n"/>
      <c r="AF14" s="44" t="n"/>
      <c r="AG14" s="44" t="n"/>
      <c r="AH14" s="43">
        <f>IF(AND(Z14&lt;&gt;"",AA14&lt;&gt;"",AB14&lt;&gt;""),Z14+AA14+AB14,"")</f>
        <v/>
      </c>
      <c r="AI14" s="43">
        <f>IF(AND(AND(Z14&lt;&gt;"",AA14&lt;&gt;"",AB14&lt;&gt;""),AC14&lt;&gt;""),AC14-(Z14+AA14+AB14),"")</f>
        <v/>
      </c>
      <c r="AJ14" s="36" t="n"/>
      <c r="AK14" s="36" t="n"/>
      <c r="AL14" s="38" t="n"/>
      <c r="AM14" s="36" t="n"/>
      <c r="AN14" s="36" t="n"/>
      <c r="AO14" s="36" t="n"/>
      <c r="AP14" s="36" t="n"/>
      <c r="AQ14" s="36" t="n"/>
      <c r="AR14" s="36" t="n"/>
      <c r="AS14" s="36" t="n"/>
      <c r="AT14" s="35">
        <f>IF(NOT(COUNTA(A14:AS14)&gt;0),"",IF(TEXTJOIN(", ",TRUE,IF(B14="","Название",""),IF(C14="","Тип недвижимости",""),IF(D14="","Страна",""),IF(E14="","Город",""),IF(F14="","Улица",""),IF(I14="","Валюта",""),IF(OR(AL14="",AL14&lt;1),"Хотя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земли",""),IF(OR(AQ14="",AQ14="Нет"),"Право собственности",""),IF(OR(AR14="",AR14="Нет"),"Справка об отсутствии обременений",""),IF(OR(X14="",X14&lt;=0),"Площадь участка проекта",""),IF(OR(Y14="",Y14&lt;=0),"Площадь строительства",""),IF(OR(Z14="",Z14&lt;0),"Стоимость участка",""),IF(OR(AA14="",AA14&lt;0),"Строительство",""),IF(OR(AB14="",AB14&lt;0),"Налоги и резерв",""),IF(OR(AC14="",AC14&lt;0),"Ожидаемая продажа",""),IF(OR(AD14="",AD14&lt;=0),"Капитал инвестора",""),IF(OR(AE14="",AE14&lt;=0,AE14&gt;600),"Срок в месяцах",""),IF(OR(AF14="",AF14&lt;0,AF14&gt;100),"Приоритетная доходность",""),IF(OR(AG14="",AG14&lt;0,AG14&gt;100),"Доля платформы",""),IF(AND(Z14&lt;&gt;"",AA14&lt;&gt;"",AB14&lt;&gt;"",AD14&lt;&gt;"",OR((Z14+AA14+AB14)&lt;=0,AD14&gt;(Z14+AA14+AB14))),"Капитал инвестора больше бюджета",""))="","",TEXTJOIN(", ",TRUE,IF(B14="","Название",""),IF(C14="","Тип недвижимости",""),IF(D14="","Страна",""),IF(E14="","Город",""),IF(F14="","Улица",""),IF(I14="","Валюта",""),IF(OR(AL14="",AL14&lt;1),"Хотя бы 1 фото",""),IF(AND(OR(C14="Квартира",C14="Апартаменты",C14="Дом",C14="Вилла",C14="Коммерческая"),J14=""),"Площадь",""),IF(AND(OR(C14="Квартира",C14="Апартаменты"),K14=""),"Жилая площадь",""),IF(AND(OR(C14="Дом",C14="Вилла",C14="Земля"),L14=""),"Площадь участка",""),IF(AND(OR(C14="Квартира",C14="Апартаменты"),M14=""),"Комнаты",""),IF(AND(OR(C14="Дом",C14="Вилла"),N14=""),"Спальни",""),IF(AND(OR(C14="Квартира",C14="Апартаменты",C14="Дом",C14="Вилла"),O14=""),"Ванные",""),IF(AND(OR(C14="Квартира",C14="Апартаменты"),P14=""),"Этаж",""),IF(AND(OR(OR(C14="Квартира",C14="Апартаменты"),OR(C14="Дом",C14="Вилла")),Q14=""),"Этажей",""),IF(AND(OR(OR(C14="Квартира",C14="Апартаменты"),OR(C14="Дом",C14="Вилла")),OR(R14="",R14&gt;YEAR(TODAY()))),"Год постройки",""),IF(AND(P14&lt;&gt;"",Q14&lt;&gt;"",P14&gt;Q14),"Этаж больше этажности",""),IF(AND(OR(C14="Квартира",C14="Апартаменты",C14="Дом",C14="Вилла"),S14=""),"Материал",""),IF(AND(OR(C14="Коммерческая"),U14=""),"Тип коммерции",""),IF(AND(OR(C14="Земля"),V14=""),"Назначение земли",""),IF(OR(AQ14="",AQ14="Нет"),"Право собственности",""),IF(OR(AR14="",AR14="Нет"),"Справка об отсутствии обременений",""),IF(OR(X14="",X14&lt;=0),"Площадь участка проекта",""),IF(OR(Y14="",Y14&lt;=0),"Площадь строительства",""),IF(OR(Z14="",Z14&lt;0),"Стоимость участка",""),IF(OR(AA14="",AA14&lt;0),"Строительство",""),IF(OR(AB14="",AB14&lt;0),"Налоги и резерв",""),IF(OR(AC14="",AC14&lt;0),"Ожидаемая продажа",""),IF(OR(AD14="",AD14&lt;=0),"Капитал инвестора",""),IF(OR(AE14="",AE14&lt;=0,AE14&gt;600),"Срок в месяцах",""),IF(OR(AF14="",AF14&lt;0,AF14&gt;100),"Приоритетная доходность",""),IF(OR(AG14="",AG14&lt;0,AG14&gt;100),"Доля платформы",""),IF(AND(Z14&lt;&gt;"",AA14&lt;&gt;"",AB14&lt;&gt;"",AD14&lt;&gt;"",OR((Z14+AA14+AB14)&lt;=0,AD14&gt;(Z14+AA14+AB14))),"Капитал инвестора больше бюджета",""))))</f>
        <v/>
      </c>
      <c r="AU14" s="35">
        <f>IF(NOT(COUNTA(A14:AS14)&gt;0),"",IF(TEXTJOIN(", ",TRUE,IF(AO14="","Описание",""),IF(AND(AL14&lt;&gt;"",AL14&gt;=1,AL14&lt;5),"Фото меньше 5",""),IF(AN14="","Видео",""),IF(H14="","Кадастровый номер",""),IF(AM14="","Ссылка на фото",""),IF(W14="","Цель продавца",""),IF(AJ14="","Лицензия",""),IF(AK14="","Допущения и источники",""))="","",TEXTJOIN(", ",TRUE,IF(AO14="","Описание",""),IF(AND(AL14&lt;&gt;"",AL14&gt;=1,AL14&lt;5),"Фото меньше 5",""),IF(AN14="","Видео",""),IF(H14="","Кадастровый номер",""),IF(AM14="","Ссылка на фото",""),IF(W14="","Цель продавца",""),IF(AJ14="","Лицензия",""),IF(AK14="","Допущения и источники",""))))</f>
        <v/>
      </c>
      <c r="AV14" s="35">
        <f>IF(NOT(COUNTA(A14:AS14)&gt;0),"",IF(AT14="","Можно публиковать","Не хватает"))</f>
        <v/>
      </c>
    </row>
    <row r="15" ht="22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 t="n"/>
      <c r="K15" s="31" t="n"/>
      <c r="L15" s="31" t="n"/>
      <c r="M15" s="32" t="n"/>
      <c r="N15" s="32" t="n"/>
      <c r="O15" s="32" t="n"/>
      <c r="P15" s="32" t="n"/>
      <c r="Q15" s="32" t="n"/>
      <c r="R15" s="32" t="n"/>
      <c r="S15" s="30" t="n"/>
      <c r="T15" s="30" t="n"/>
      <c r="U15" s="30" t="n"/>
      <c r="V15" s="30" t="n"/>
      <c r="W15" s="30" t="n"/>
      <c r="X15" s="31" t="n"/>
      <c r="Y15" s="31" t="n"/>
      <c r="Z15" s="33" t="n"/>
      <c r="AA15" s="33" t="n"/>
      <c r="AB15" s="33" t="n"/>
      <c r="AC15" s="33" t="n"/>
      <c r="AD15" s="33" t="n"/>
      <c r="AE15" s="32" t="n"/>
      <c r="AF15" s="42" t="n"/>
      <c r="AG15" s="42" t="n"/>
      <c r="AH15" s="43">
        <f>IF(AND(Z15&lt;&gt;"",AA15&lt;&gt;"",AB15&lt;&gt;""),Z15+AA15+AB15,"")</f>
        <v/>
      </c>
      <c r="AI15" s="43">
        <f>IF(AND(AND(Z15&lt;&gt;"",AA15&lt;&gt;"",AB15&lt;&gt;""),AC15&lt;&gt;""),AC15-(Z15+AA15+AB15),"")</f>
        <v/>
      </c>
      <c r="AJ15" s="30" t="n"/>
      <c r="AK15" s="30" t="n"/>
      <c r="AL15" s="32" t="n"/>
      <c r="AM15" s="30" t="n"/>
      <c r="AN15" s="30" t="n"/>
      <c r="AO15" s="30" t="n"/>
      <c r="AP15" s="30" t="n"/>
      <c r="AQ15" s="30" t="n"/>
      <c r="AR15" s="30" t="n"/>
      <c r="AS15" s="30" t="n"/>
      <c r="AT15" s="35">
        <f>IF(NOT(COUNTA(A15:AS15)&gt;0),"",IF(TEXTJOIN(", ",TRUE,IF(B15="","Название",""),IF(C15="","Тип недвижимости",""),IF(D15="","Страна",""),IF(E15="","Город",""),IF(F15="","Улица",""),IF(I15="","Валюта",""),IF(OR(AL15="",AL15&lt;1),"Хотя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земли",""),IF(OR(AQ15="",AQ15="Нет"),"Право собственности",""),IF(OR(AR15="",AR15="Нет"),"Справка об отсутствии обременений",""),IF(OR(X15="",X15&lt;=0),"Площадь участка проекта",""),IF(OR(Y15="",Y15&lt;=0),"Площадь строительства",""),IF(OR(Z15="",Z15&lt;0),"Стоимость участка",""),IF(OR(AA15="",AA15&lt;0),"Строительство",""),IF(OR(AB15="",AB15&lt;0),"Налоги и резерв",""),IF(OR(AC15="",AC15&lt;0),"Ожидаемая продажа",""),IF(OR(AD15="",AD15&lt;=0),"Капитал инвестора",""),IF(OR(AE15="",AE15&lt;=0,AE15&gt;600),"Срок в месяцах",""),IF(OR(AF15="",AF15&lt;0,AF15&gt;100),"Приоритетная доходность",""),IF(OR(AG15="",AG15&lt;0,AG15&gt;100),"Доля платформы",""),IF(AND(Z15&lt;&gt;"",AA15&lt;&gt;"",AB15&lt;&gt;"",AD15&lt;&gt;"",OR((Z15+AA15+AB15)&lt;=0,AD15&gt;(Z15+AA15+AB15))),"Капитал инвестора больше бюджета",""))="","",TEXTJOIN(", ",TRUE,IF(B15="","Название",""),IF(C15="","Тип недвижимости",""),IF(D15="","Страна",""),IF(E15="","Город",""),IF(F15="","Улица",""),IF(I15="","Валюта",""),IF(OR(AL15="",AL15&lt;1),"Хотя бы 1 фото",""),IF(AND(OR(C15="Квартира",C15="Апартаменты",C15="Дом",C15="Вилла",C15="Коммерческая"),J15=""),"Площадь",""),IF(AND(OR(C15="Квартира",C15="Апартаменты"),K15=""),"Жилая площадь",""),IF(AND(OR(C15="Дом",C15="Вилла",C15="Земля"),L15=""),"Площадь участка",""),IF(AND(OR(C15="Квартира",C15="Апартаменты"),M15=""),"Комнаты",""),IF(AND(OR(C15="Дом",C15="Вилла"),N15=""),"Спальни",""),IF(AND(OR(C15="Квартира",C15="Апартаменты",C15="Дом",C15="Вилла"),O15=""),"Ванные",""),IF(AND(OR(C15="Квартира",C15="Апартаменты"),P15=""),"Этаж",""),IF(AND(OR(OR(C15="Квартира",C15="Апартаменты"),OR(C15="Дом",C15="Вилла")),Q15=""),"Этажей",""),IF(AND(OR(OR(C15="Квартира",C15="Апартаменты"),OR(C15="Дом",C15="Вилла")),OR(R15="",R15&gt;YEAR(TODAY()))),"Год постройки",""),IF(AND(P15&lt;&gt;"",Q15&lt;&gt;"",P15&gt;Q15),"Этаж больше этажности",""),IF(AND(OR(C15="Квартира",C15="Апартаменты",C15="Дом",C15="Вилла"),S15=""),"Материал",""),IF(AND(OR(C15="Коммерческая"),U15=""),"Тип коммерции",""),IF(AND(OR(C15="Земля"),V15=""),"Назначение земли",""),IF(OR(AQ15="",AQ15="Нет"),"Право собственности",""),IF(OR(AR15="",AR15="Нет"),"Справка об отсутствии обременений",""),IF(OR(X15="",X15&lt;=0),"Площадь участка проекта",""),IF(OR(Y15="",Y15&lt;=0),"Площадь строительства",""),IF(OR(Z15="",Z15&lt;0),"Стоимость участка",""),IF(OR(AA15="",AA15&lt;0),"Строительство",""),IF(OR(AB15="",AB15&lt;0),"Налоги и резерв",""),IF(OR(AC15="",AC15&lt;0),"Ожидаемая продажа",""),IF(OR(AD15="",AD15&lt;=0),"Капитал инвестора",""),IF(OR(AE15="",AE15&lt;=0,AE15&gt;600),"Срок в месяцах",""),IF(OR(AF15="",AF15&lt;0,AF15&gt;100),"Приоритетная доходность",""),IF(OR(AG15="",AG15&lt;0,AG15&gt;100),"Доля платформы",""),IF(AND(Z15&lt;&gt;"",AA15&lt;&gt;"",AB15&lt;&gt;"",AD15&lt;&gt;"",OR((Z15+AA15+AB15)&lt;=0,AD15&gt;(Z15+AA15+AB15))),"Капитал инвестора больше бюджета",""))))</f>
        <v/>
      </c>
      <c r="AU15" s="35">
        <f>IF(NOT(COUNTA(A15:AS15)&gt;0),"",IF(TEXTJOIN(", ",TRUE,IF(AO15="","Описание",""),IF(AND(AL15&lt;&gt;"",AL15&gt;=1,AL15&lt;5),"Фото меньше 5",""),IF(AN15="","Видео",""),IF(H15="","Кадастровый номер",""),IF(AM15="","Ссылка на фото",""),IF(W15="","Цель продавца",""),IF(AJ15="","Лицензия",""),IF(AK15="","Допущения и источники",""))="","",TEXTJOIN(", ",TRUE,IF(AO15="","Описание",""),IF(AND(AL15&lt;&gt;"",AL15&gt;=1,AL15&lt;5),"Фото меньше 5",""),IF(AN15="","Видео",""),IF(H15="","Кадастровый номер",""),IF(AM15="","Ссылка на фото",""),IF(W15="","Цель продавца",""),IF(AJ15="","Лицензия",""),IF(AK15="","Допущения и источники",""))))</f>
        <v/>
      </c>
      <c r="AV15" s="35">
        <f>IF(NOT(COUNTA(A15:AS15)&gt;0),"",IF(AT15="","Можно публиковать","Не хватает"))</f>
        <v/>
      </c>
    </row>
    <row r="16" ht="22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7" t="n"/>
      <c r="K16" s="37" t="n"/>
      <c r="L16" s="37" t="n"/>
      <c r="M16" s="38" t="n"/>
      <c r="N16" s="38" t="n"/>
      <c r="O16" s="38" t="n"/>
      <c r="P16" s="38" t="n"/>
      <c r="Q16" s="38" t="n"/>
      <c r="R16" s="38" t="n"/>
      <c r="S16" s="36" t="n"/>
      <c r="T16" s="36" t="n"/>
      <c r="U16" s="36" t="n"/>
      <c r="V16" s="36" t="n"/>
      <c r="W16" s="36" t="n"/>
      <c r="X16" s="37" t="n"/>
      <c r="Y16" s="37" t="n"/>
      <c r="Z16" s="39" t="n"/>
      <c r="AA16" s="39" t="n"/>
      <c r="AB16" s="39" t="n"/>
      <c r="AC16" s="39" t="n"/>
      <c r="AD16" s="39" t="n"/>
      <c r="AE16" s="38" t="n"/>
      <c r="AF16" s="44" t="n"/>
      <c r="AG16" s="44" t="n"/>
      <c r="AH16" s="43">
        <f>IF(AND(Z16&lt;&gt;"",AA16&lt;&gt;"",AB16&lt;&gt;""),Z16+AA16+AB16,"")</f>
        <v/>
      </c>
      <c r="AI16" s="43">
        <f>IF(AND(AND(Z16&lt;&gt;"",AA16&lt;&gt;"",AB16&lt;&gt;""),AC16&lt;&gt;""),AC16-(Z16+AA16+AB16),"")</f>
        <v/>
      </c>
      <c r="AJ16" s="36" t="n"/>
      <c r="AK16" s="36" t="n"/>
      <c r="AL16" s="38" t="n"/>
      <c r="AM16" s="36" t="n"/>
      <c r="AN16" s="36" t="n"/>
      <c r="AO16" s="36" t="n"/>
      <c r="AP16" s="36" t="n"/>
      <c r="AQ16" s="36" t="n"/>
      <c r="AR16" s="36" t="n"/>
      <c r="AS16" s="36" t="n"/>
      <c r="AT16" s="35">
        <f>IF(NOT(COUNTA(A16:AS16)&gt;0),"",IF(TEXTJOIN(", ",TRUE,IF(B16="","Название",""),IF(C16="","Тип недвижимости",""),IF(D16="","Страна",""),IF(E16="","Город",""),IF(F16="","Улица",""),IF(I16="","Валюта",""),IF(OR(AL16="",AL16&lt;1),"Хотя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земли",""),IF(OR(AQ16="",AQ16="Нет"),"Право собственности",""),IF(OR(AR16="",AR16="Нет"),"Справка об отсутствии обременений",""),IF(OR(X16="",X16&lt;=0),"Площадь участка проекта",""),IF(OR(Y16="",Y16&lt;=0),"Площадь строительства",""),IF(OR(Z16="",Z16&lt;0),"Стоимость участка",""),IF(OR(AA16="",AA16&lt;0),"Строительство",""),IF(OR(AB16="",AB16&lt;0),"Налоги и резерв",""),IF(OR(AC16="",AC16&lt;0),"Ожидаемая продажа",""),IF(OR(AD16="",AD16&lt;=0),"Капитал инвестора",""),IF(OR(AE16="",AE16&lt;=0,AE16&gt;600),"Срок в месяцах",""),IF(OR(AF16="",AF16&lt;0,AF16&gt;100),"Приоритетная доходность",""),IF(OR(AG16="",AG16&lt;0,AG16&gt;100),"Доля платформы",""),IF(AND(Z16&lt;&gt;"",AA16&lt;&gt;"",AB16&lt;&gt;"",AD16&lt;&gt;"",OR((Z16+AA16+AB16)&lt;=0,AD16&gt;(Z16+AA16+AB16))),"Капитал инвестора больше бюджета",""))="","",TEXTJOIN(", ",TRUE,IF(B16="","Название",""),IF(C16="","Тип недвижимости",""),IF(D16="","Страна",""),IF(E16="","Город",""),IF(F16="","Улица",""),IF(I16="","Валюта",""),IF(OR(AL16="",AL16&lt;1),"Хотя бы 1 фото",""),IF(AND(OR(C16="Квартира",C16="Апартаменты",C16="Дом",C16="Вилла",C16="Коммерческая"),J16=""),"Площадь",""),IF(AND(OR(C16="Квартира",C16="Апартаменты"),K16=""),"Жилая площадь",""),IF(AND(OR(C16="Дом",C16="Вилла",C16="Земля"),L16=""),"Площадь участка",""),IF(AND(OR(C16="Квартира",C16="Апартаменты"),M16=""),"Комнаты",""),IF(AND(OR(C16="Дом",C16="Вилла"),N16=""),"Спальни",""),IF(AND(OR(C16="Квартира",C16="Апартаменты",C16="Дом",C16="Вилла"),O16=""),"Ванные",""),IF(AND(OR(C16="Квартира",C16="Апартаменты"),P16=""),"Этаж",""),IF(AND(OR(OR(C16="Квартира",C16="Апартаменты"),OR(C16="Дом",C16="Вилла")),Q16=""),"Этажей",""),IF(AND(OR(OR(C16="Квартира",C16="Апартаменты"),OR(C16="Дом",C16="Вилла")),OR(R16="",R16&gt;YEAR(TODAY()))),"Год постройки",""),IF(AND(P16&lt;&gt;"",Q16&lt;&gt;"",P16&gt;Q16),"Этаж больше этажности",""),IF(AND(OR(C16="Квартира",C16="Апартаменты",C16="Дом",C16="Вилла"),S16=""),"Материал",""),IF(AND(OR(C16="Коммерческая"),U16=""),"Тип коммерции",""),IF(AND(OR(C16="Земля"),V16=""),"Назначение земли",""),IF(OR(AQ16="",AQ16="Нет"),"Право собственности",""),IF(OR(AR16="",AR16="Нет"),"Справка об отсутствии обременений",""),IF(OR(X16="",X16&lt;=0),"Площадь участка проекта",""),IF(OR(Y16="",Y16&lt;=0),"Площадь строительства",""),IF(OR(Z16="",Z16&lt;0),"Стоимость участка",""),IF(OR(AA16="",AA16&lt;0),"Строительство",""),IF(OR(AB16="",AB16&lt;0),"Налоги и резерв",""),IF(OR(AC16="",AC16&lt;0),"Ожидаемая продажа",""),IF(OR(AD16="",AD16&lt;=0),"Капитал инвестора",""),IF(OR(AE16="",AE16&lt;=0,AE16&gt;600),"Срок в месяцах",""),IF(OR(AF16="",AF16&lt;0,AF16&gt;100),"Приоритетная доходность",""),IF(OR(AG16="",AG16&lt;0,AG16&gt;100),"Доля платформы",""),IF(AND(Z16&lt;&gt;"",AA16&lt;&gt;"",AB16&lt;&gt;"",AD16&lt;&gt;"",OR((Z16+AA16+AB16)&lt;=0,AD16&gt;(Z16+AA16+AB16))),"Капитал инвестора больше бюджета",""))))</f>
        <v/>
      </c>
      <c r="AU16" s="35">
        <f>IF(NOT(COUNTA(A16:AS16)&gt;0),"",IF(TEXTJOIN(", ",TRUE,IF(AO16="","Описание",""),IF(AND(AL16&lt;&gt;"",AL16&gt;=1,AL16&lt;5),"Фото меньше 5",""),IF(AN16="","Видео",""),IF(H16="","Кадастровый номер",""),IF(AM16="","Ссылка на фото",""),IF(W16="","Цель продавца",""),IF(AJ16="","Лицензия",""),IF(AK16="","Допущения и источники",""))="","",TEXTJOIN(", ",TRUE,IF(AO16="","Описание",""),IF(AND(AL16&lt;&gt;"",AL16&gt;=1,AL16&lt;5),"Фото меньше 5",""),IF(AN16="","Видео",""),IF(H16="","Кадастровый номер",""),IF(AM16="","Ссылка на фото",""),IF(W16="","Цель продавца",""),IF(AJ16="","Лицензия",""),IF(AK16="","Допущения и источники",""))))</f>
        <v/>
      </c>
      <c r="AV16" s="35">
        <f>IF(NOT(COUNTA(A16:AS16)&gt;0),"",IF(AT16="","Можно публиковать","Не хватает"))</f>
        <v/>
      </c>
    </row>
    <row r="17" ht="22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 t="n"/>
      <c r="K17" s="31" t="n"/>
      <c r="L17" s="31" t="n"/>
      <c r="M17" s="32" t="n"/>
      <c r="N17" s="32" t="n"/>
      <c r="O17" s="32" t="n"/>
      <c r="P17" s="32" t="n"/>
      <c r="Q17" s="32" t="n"/>
      <c r="R17" s="32" t="n"/>
      <c r="S17" s="30" t="n"/>
      <c r="T17" s="30" t="n"/>
      <c r="U17" s="30" t="n"/>
      <c r="V17" s="30" t="n"/>
      <c r="W17" s="30" t="n"/>
      <c r="X17" s="31" t="n"/>
      <c r="Y17" s="31" t="n"/>
      <c r="Z17" s="33" t="n"/>
      <c r="AA17" s="33" t="n"/>
      <c r="AB17" s="33" t="n"/>
      <c r="AC17" s="33" t="n"/>
      <c r="AD17" s="33" t="n"/>
      <c r="AE17" s="32" t="n"/>
      <c r="AF17" s="42" t="n"/>
      <c r="AG17" s="42" t="n"/>
      <c r="AH17" s="43">
        <f>IF(AND(Z17&lt;&gt;"",AA17&lt;&gt;"",AB17&lt;&gt;""),Z17+AA17+AB17,"")</f>
        <v/>
      </c>
      <c r="AI17" s="43">
        <f>IF(AND(AND(Z17&lt;&gt;"",AA17&lt;&gt;"",AB17&lt;&gt;""),AC17&lt;&gt;""),AC17-(Z17+AA17+AB17),"")</f>
        <v/>
      </c>
      <c r="AJ17" s="30" t="n"/>
      <c r="AK17" s="30" t="n"/>
      <c r="AL17" s="32" t="n"/>
      <c r="AM17" s="30" t="n"/>
      <c r="AN17" s="30" t="n"/>
      <c r="AO17" s="30" t="n"/>
      <c r="AP17" s="30" t="n"/>
      <c r="AQ17" s="30" t="n"/>
      <c r="AR17" s="30" t="n"/>
      <c r="AS17" s="30" t="n"/>
      <c r="AT17" s="35">
        <f>IF(NOT(COUNTA(A17:AS17)&gt;0),"",IF(TEXTJOIN(", ",TRUE,IF(B17="","Название",""),IF(C17="","Тип недвижимости",""),IF(D17="","Страна",""),IF(E17="","Город",""),IF(F17="","Улица",""),IF(I17="","Валюта",""),IF(OR(AL17="",AL17&lt;1),"Хотя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земли",""),IF(OR(AQ17="",AQ17="Нет"),"Право собственности",""),IF(OR(AR17="",AR17="Нет"),"Справка об отсутствии обременений",""),IF(OR(X17="",X17&lt;=0),"Площадь участка проекта",""),IF(OR(Y17="",Y17&lt;=0),"Площадь строительства",""),IF(OR(Z17="",Z17&lt;0),"Стоимость участка",""),IF(OR(AA17="",AA17&lt;0),"Строительство",""),IF(OR(AB17="",AB17&lt;0),"Налоги и резерв",""),IF(OR(AC17="",AC17&lt;0),"Ожидаемая продажа",""),IF(OR(AD17="",AD17&lt;=0),"Капитал инвестора",""),IF(OR(AE17="",AE17&lt;=0,AE17&gt;600),"Срок в месяцах",""),IF(OR(AF17="",AF17&lt;0,AF17&gt;100),"Приоритетная доходность",""),IF(OR(AG17="",AG17&lt;0,AG17&gt;100),"Доля платформы",""),IF(AND(Z17&lt;&gt;"",AA17&lt;&gt;"",AB17&lt;&gt;"",AD17&lt;&gt;"",OR((Z17+AA17+AB17)&lt;=0,AD17&gt;(Z17+AA17+AB17))),"Капитал инвестора больше бюджета",""))="","",TEXTJOIN(", ",TRUE,IF(B17="","Название",""),IF(C17="","Тип недвижимости",""),IF(D17="","Страна",""),IF(E17="","Город",""),IF(F17="","Улица",""),IF(I17="","Валюта",""),IF(OR(AL17="",AL17&lt;1),"Хотя бы 1 фото",""),IF(AND(OR(C17="Квартира",C17="Апартаменты",C17="Дом",C17="Вилла",C17="Коммерческая"),J17=""),"Площадь",""),IF(AND(OR(C17="Квартира",C17="Апартаменты"),K17=""),"Жилая площадь",""),IF(AND(OR(C17="Дом",C17="Вилла",C17="Земля"),L17=""),"Площадь участка",""),IF(AND(OR(C17="Квартира",C17="Апартаменты"),M17=""),"Комнаты",""),IF(AND(OR(C17="Дом",C17="Вилла"),N17=""),"Спальни",""),IF(AND(OR(C17="Квартира",C17="Апартаменты",C17="Дом",C17="Вилла"),O17=""),"Ванные",""),IF(AND(OR(C17="Квартира",C17="Апартаменты"),P17=""),"Этаж",""),IF(AND(OR(OR(C17="Квартира",C17="Апартаменты"),OR(C17="Дом",C17="Вилла")),Q17=""),"Этажей",""),IF(AND(OR(OR(C17="Квартира",C17="Апартаменты"),OR(C17="Дом",C17="Вилла")),OR(R17="",R17&gt;YEAR(TODAY()))),"Год постройки",""),IF(AND(P17&lt;&gt;"",Q17&lt;&gt;"",P17&gt;Q17),"Этаж больше этажности",""),IF(AND(OR(C17="Квартира",C17="Апартаменты",C17="Дом",C17="Вилла"),S17=""),"Материал",""),IF(AND(OR(C17="Коммерческая"),U17=""),"Тип коммерции",""),IF(AND(OR(C17="Земля"),V17=""),"Назначение земли",""),IF(OR(AQ17="",AQ17="Нет"),"Право собственности",""),IF(OR(AR17="",AR17="Нет"),"Справка об отсутствии обременений",""),IF(OR(X17="",X17&lt;=0),"Площадь участка проекта",""),IF(OR(Y17="",Y17&lt;=0),"Площадь строительства",""),IF(OR(Z17="",Z17&lt;0),"Стоимость участка",""),IF(OR(AA17="",AA17&lt;0),"Строительство",""),IF(OR(AB17="",AB17&lt;0),"Налоги и резерв",""),IF(OR(AC17="",AC17&lt;0),"Ожидаемая продажа",""),IF(OR(AD17="",AD17&lt;=0),"Капитал инвестора",""),IF(OR(AE17="",AE17&lt;=0,AE17&gt;600),"Срок в месяцах",""),IF(OR(AF17="",AF17&lt;0,AF17&gt;100),"Приоритетная доходность",""),IF(OR(AG17="",AG17&lt;0,AG17&gt;100),"Доля платформы",""),IF(AND(Z17&lt;&gt;"",AA17&lt;&gt;"",AB17&lt;&gt;"",AD17&lt;&gt;"",OR((Z17+AA17+AB17)&lt;=0,AD17&gt;(Z17+AA17+AB17))),"Капитал инвестора больше бюджета",""))))</f>
        <v/>
      </c>
      <c r="AU17" s="35">
        <f>IF(NOT(COUNTA(A17:AS17)&gt;0),"",IF(TEXTJOIN(", ",TRUE,IF(AO17="","Описание",""),IF(AND(AL17&lt;&gt;"",AL17&gt;=1,AL17&lt;5),"Фото меньше 5",""),IF(AN17="","Видео",""),IF(H17="","Кадастровый номер",""),IF(AM17="","Ссылка на фото",""),IF(W17="","Цель продавца",""),IF(AJ17="","Лицензия",""),IF(AK17="","Допущения и источники",""))="","",TEXTJOIN(", ",TRUE,IF(AO17="","Описание",""),IF(AND(AL17&lt;&gt;"",AL17&gt;=1,AL17&lt;5),"Фото меньше 5",""),IF(AN17="","Видео",""),IF(H17="","Кадастровый номер",""),IF(AM17="","Ссылка на фото",""),IF(W17="","Цель продавца",""),IF(AJ17="","Лицензия",""),IF(AK17="","Допущения и источники",""))))</f>
        <v/>
      </c>
      <c r="AV17" s="35">
        <f>IF(NOT(COUNTA(A17:AS17)&gt;0),"",IF(AT17="","Можно публиковать","Не хватает"))</f>
        <v/>
      </c>
    </row>
    <row r="18" ht="22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7" t="n"/>
      <c r="K18" s="37" t="n"/>
      <c r="L18" s="37" t="n"/>
      <c r="M18" s="38" t="n"/>
      <c r="N18" s="38" t="n"/>
      <c r="O18" s="38" t="n"/>
      <c r="P18" s="38" t="n"/>
      <c r="Q18" s="38" t="n"/>
      <c r="R18" s="38" t="n"/>
      <c r="S18" s="36" t="n"/>
      <c r="T18" s="36" t="n"/>
      <c r="U18" s="36" t="n"/>
      <c r="V18" s="36" t="n"/>
      <c r="W18" s="36" t="n"/>
      <c r="X18" s="37" t="n"/>
      <c r="Y18" s="37" t="n"/>
      <c r="Z18" s="39" t="n"/>
      <c r="AA18" s="39" t="n"/>
      <c r="AB18" s="39" t="n"/>
      <c r="AC18" s="39" t="n"/>
      <c r="AD18" s="39" t="n"/>
      <c r="AE18" s="38" t="n"/>
      <c r="AF18" s="44" t="n"/>
      <c r="AG18" s="44" t="n"/>
      <c r="AH18" s="43">
        <f>IF(AND(Z18&lt;&gt;"",AA18&lt;&gt;"",AB18&lt;&gt;""),Z18+AA18+AB18,"")</f>
        <v/>
      </c>
      <c r="AI18" s="43">
        <f>IF(AND(AND(Z18&lt;&gt;"",AA18&lt;&gt;"",AB18&lt;&gt;""),AC18&lt;&gt;""),AC18-(Z18+AA18+AB18),"")</f>
        <v/>
      </c>
      <c r="AJ18" s="36" t="n"/>
      <c r="AK18" s="36" t="n"/>
      <c r="AL18" s="38" t="n"/>
      <c r="AM18" s="36" t="n"/>
      <c r="AN18" s="36" t="n"/>
      <c r="AO18" s="36" t="n"/>
      <c r="AP18" s="36" t="n"/>
      <c r="AQ18" s="36" t="n"/>
      <c r="AR18" s="36" t="n"/>
      <c r="AS18" s="36" t="n"/>
      <c r="AT18" s="35">
        <f>IF(NOT(COUNTA(A18:AS18)&gt;0),"",IF(TEXTJOIN(", ",TRUE,IF(B18="","Название",""),IF(C18="","Тип недвижимости",""),IF(D18="","Страна",""),IF(E18="","Город",""),IF(F18="","Улица",""),IF(I18="","Валюта",""),IF(OR(AL18="",AL18&lt;1),"Хотя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земли",""),IF(OR(AQ18="",AQ18="Нет"),"Право собственности",""),IF(OR(AR18="",AR18="Нет"),"Справка об отсутствии обременений",""),IF(OR(X18="",X18&lt;=0),"Площадь участка проекта",""),IF(OR(Y18="",Y18&lt;=0),"Площадь строительства",""),IF(OR(Z18="",Z18&lt;0),"Стоимость участка",""),IF(OR(AA18="",AA18&lt;0),"Строительство",""),IF(OR(AB18="",AB18&lt;0),"Налоги и резерв",""),IF(OR(AC18="",AC18&lt;0),"Ожидаемая продажа",""),IF(OR(AD18="",AD18&lt;=0),"Капитал инвестора",""),IF(OR(AE18="",AE18&lt;=0,AE18&gt;600),"Срок в месяцах",""),IF(OR(AF18="",AF18&lt;0,AF18&gt;100),"Приоритетная доходность",""),IF(OR(AG18="",AG18&lt;0,AG18&gt;100),"Доля платформы",""),IF(AND(Z18&lt;&gt;"",AA18&lt;&gt;"",AB18&lt;&gt;"",AD18&lt;&gt;"",OR((Z18+AA18+AB18)&lt;=0,AD18&gt;(Z18+AA18+AB18))),"Капитал инвестора больше бюджета",""))="","",TEXTJOIN(", ",TRUE,IF(B18="","Название",""),IF(C18="","Тип недвижимости",""),IF(D18="","Страна",""),IF(E18="","Город",""),IF(F18="","Улица",""),IF(I18="","Валюта",""),IF(OR(AL18="",AL18&lt;1),"Хотя бы 1 фото",""),IF(AND(OR(C18="Квартира",C18="Апартаменты",C18="Дом",C18="Вилла",C18="Коммерческая"),J18=""),"Площадь",""),IF(AND(OR(C18="Квартира",C18="Апартаменты"),K18=""),"Жилая площадь",""),IF(AND(OR(C18="Дом",C18="Вилла",C18="Земля"),L18=""),"Площадь участка",""),IF(AND(OR(C18="Квартира",C18="Апартаменты"),M18=""),"Комнаты",""),IF(AND(OR(C18="Дом",C18="Вилла"),N18=""),"Спальни",""),IF(AND(OR(C18="Квартира",C18="Апартаменты",C18="Дом",C18="Вилла"),O18=""),"Ванные",""),IF(AND(OR(C18="Квартира",C18="Апартаменты"),P18=""),"Этаж",""),IF(AND(OR(OR(C18="Квартира",C18="Апартаменты"),OR(C18="Дом",C18="Вилла")),Q18=""),"Этажей",""),IF(AND(OR(OR(C18="Квартира",C18="Апартаменты"),OR(C18="Дом",C18="Вилла")),OR(R18="",R18&gt;YEAR(TODAY()))),"Год постройки",""),IF(AND(P18&lt;&gt;"",Q18&lt;&gt;"",P18&gt;Q18),"Этаж больше этажности",""),IF(AND(OR(C18="Квартира",C18="Апартаменты",C18="Дом",C18="Вилла"),S18=""),"Материал",""),IF(AND(OR(C18="Коммерческая"),U18=""),"Тип коммерции",""),IF(AND(OR(C18="Земля"),V18=""),"Назначение земли",""),IF(OR(AQ18="",AQ18="Нет"),"Право собственности",""),IF(OR(AR18="",AR18="Нет"),"Справка об отсутствии обременений",""),IF(OR(X18="",X18&lt;=0),"Площадь участка проекта",""),IF(OR(Y18="",Y18&lt;=0),"Площадь строительства",""),IF(OR(Z18="",Z18&lt;0),"Стоимость участка",""),IF(OR(AA18="",AA18&lt;0),"Строительство",""),IF(OR(AB18="",AB18&lt;0),"Налоги и резерв",""),IF(OR(AC18="",AC18&lt;0),"Ожидаемая продажа",""),IF(OR(AD18="",AD18&lt;=0),"Капитал инвестора",""),IF(OR(AE18="",AE18&lt;=0,AE18&gt;600),"Срок в месяцах",""),IF(OR(AF18="",AF18&lt;0,AF18&gt;100),"Приоритетная доходность",""),IF(OR(AG18="",AG18&lt;0,AG18&gt;100),"Доля платформы",""),IF(AND(Z18&lt;&gt;"",AA18&lt;&gt;"",AB18&lt;&gt;"",AD18&lt;&gt;"",OR((Z18+AA18+AB18)&lt;=0,AD18&gt;(Z18+AA18+AB18))),"Капитал инвестора больше бюджета",""))))</f>
        <v/>
      </c>
      <c r="AU18" s="35">
        <f>IF(NOT(COUNTA(A18:AS18)&gt;0),"",IF(TEXTJOIN(", ",TRUE,IF(AO18="","Описание",""),IF(AND(AL18&lt;&gt;"",AL18&gt;=1,AL18&lt;5),"Фото меньше 5",""),IF(AN18="","Видео",""),IF(H18="","Кадастровый номер",""),IF(AM18="","Ссылка на фото",""),IF(W18="","Цель продавца",""),IF(AJ18="","Лицензия",""),IF(AK18="","Допущения и источники",""))="","",TEXTJOIN(", ",TRUE,IF(AO18="","Описание",""),IF(AND(AL18&lt;&gt;"",AL18&gt;=1,AL18&lt;5),"Фото меньше 5",""),IF(AN18="","Видео",""),IF(H18="","Кадастровый номер",""),IF(AM18="","Ссылка на фото",""),IF(W18="","Цель продавца",""),IF(AJ18="","Лицензия",""),IF(AK18="","Допущения и источники",""))))</f>
        <v/>
      </c>
      <c r="AV18" s="35">
        <f>IF(NOT(COUNTA(A18:AS18)&gt;0),"",IF(AT18="","Можно публиковать","Не хватает"))</f>
        <v/>
      </c>
    </row>
    <row r="19" ht="22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  <c r="K19" s="31" t="n"/>
      <c r="L19" s="31" t="n"/>
      <c r="M19" s="32" t="n"/>
      <c r="N19" s="32" t="n"/>
      <c r="O19" s="32" t="n"/>
      <c r="P19" s="32" t="n"/>
      <c r="Q19" s="32" t="n"/>
      <c r="R19" s="32" t="n"/>
      <c r="S19" s="30" t="n"/>
      <c r="T19" s="30" t="n"/>
      <c r="U19" s="30" t="n"/>
      <c r="V19" s="30" t="n"/>
      <c r="W19" s="30" t="n"/>
      <c r="X19" s="31" t="n"/>
      <c r="Y19" s="31" t="n"/>
      <c r="Z19" s="33" t="n"/>
      <c r="AA19" s="33" t="n"/>
      <c r="AB19" s="33" t="n"/>
      <c r="AC19" s="33" t="n"/>
      <c r="AD19" s="33" t="n"/>
      <c r="AE19" s="32" t="n"/>
      <c r="AF19" s="42" t="n"/>
      <c r="AG19" s="42" t="n"/>
      <c r="AH19" s="43">
        <f>IF(AND(Z19&lt;&gt;"",AA19&lt;&gt;"",AB19&lt;&gt;""),Z19+AA19+AB19,"")</f>
        <v/>
      </c>
      <c r="AI19" s="43">
        <f>IF(AND(AND(Z19&lt;&gt;"",AA19&lt;&gt;"",AB19&lt;&gt;""),AC19&lt;&gt;""),AC19-(Z19+AA19+AB19),"")</f>
        <v/>
      </c>
      <c r="AJ19" s="30" t="n"/>
      <c r="AK19" s="30" t="n"/>
      <c r="AL19" s="32" t="n"/>
      <c r="AM19" s="30" t="n"/>
      <c r="AN19" s="30" t="n"/>
      <c r="AO19" s="30" t="n"/>
      <c r="AP19" s="30" t="n"/>
      <c r="AQ19" s="30" t="n"/>
      <c r="AR19" s="30" t="n"/>
      <c r="AS19" s="30" t="n"/>
      <c r="AT19" s="35">
        <f>IF(NOT(COUNTA(A19:AS19)&gt;0),"",IF(TEXTJOIN(", ",TRUE,IF(B19="","Название",""),IF(C19="","Тип недвижимости",""),IF(D19="","Страна",""),IF(E19="","Город",""),IF(F19="","Улица",""),IF(I19="","Валюта",""),IF(OR(AL19="",AL19&lt;1),"Хотя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земли",""),IF(OR(AQ19="",AQ19="Нет"),"Право собственности",""),IF(OR(AR19="",AR19="Нет"),"Справка об отсутствии обременений",""),IF(OR(X19="",X19&lt;=0),"Площадь участка проекта",""),IF(OR(Y19="",Y19&lt;=0),"Площадь строительства",""),IF(OR(Z19="",Z19&lt;0),"Стоимость участка",""),IF(OR(AA19="",AA19&lt;0),"Строительство",""),IF(OR(AB19="",AB19&lt;0),"Налоги и резерв",""),IF(OR(AC19="",AC19&lt;0),"Ожидаемая продажа",""),IF(OR(AD19="",AD19&lt;=0),"Капитал инвестора",""),IF(OR(AE19="",AE19&lt;=0,AE19&gt;600),"Срок в месяцах",""),IF(OR(AF19="",AF19&lt;0,AF19&gt;100),"Приоритетная доходность",""),IF(OR(AG19="",AG19&lt;0,AG19&gt;100),"Доля платформы",""),IF(AND(Z19&lt;&gt;"",AA19&lt;&gt;"",AB19&lt;&gt;"",AD19&lt;&gt;"",OR((Z19+AA19+AB19)&lt;=0,AD19&gt;(Z19+AA19+AB19))),"Капитал инвестора больше бюджета",""))="","",TEXTJOIN(", ",TRUE,IF(B19="","Название",""),IF(C19="","Тип недвижимости",""),IF(D19="","Страна",""),IF(E19="","Город",""),IF(F19="","Улица",""),IF(I19="","Валюта",""),IF(OR(AL19="",AL19&lt;1),"Хотя бы 1 фото",""),IF(AND(OR(C19="Квартира",C19="Апартаменты",C19="Дом",C19="Вилла",C19="Коммерческая"),J19=""),"Площадь",""),IF(AND(OR(C19="Квартира",C19="Апартаменты"),K19=""),"Жилая площадь",""),IF(AND(OR(C19="Дом",C19="Вилла",C19="Земля"),L19=""),"Площадь участка",""),IF(AND(OR(C19="Квартира",C19="Апартаменты"),M19=""),"Комнаты",""),IF(AND(OR(C19="Дом",C19="Вилла"),N19=""),"Спальни",""),IF(AND(OR(C19="Квартира",C19="Апартаменты",C19="Дом",C19="Вилла"),O19=""),"Ванные",""),IF(AND(OR(C19="Квартира",C19="Апартаменты"),P19=""),"Этаж",""),IF(AND(OR(OR(C19="Квартира",C19="Апартаменты"),OR(C19="Дом",C19="Вилла")),Q19=""),"Этажей",""),IF(AND(OR(OR(C19="Квартира",C19="Апартаменты"),OR(C19="Дом",C19="Вилла")),OR(R19="",R19&gt;YEAR(TODAY()))),"Год постройки",""),IF(AND(P19&lt;&gt;"",Q19&lt;&gt;"",P19&gt;Q19),"Этаж больше этажности",""),IF(AND(OR(C19="Квартира",C19="Апартаменты",C19="Дом",C19="Вилла"),S19=""),"Материал",""),IF(AND(OR(C19="Коммерческая"),U19=""),"Тип коммерции",""),IF(AND(OR(C19="Земля"),V19=""),"Назначение земли",""),IF(OR(AQ19="",AQ19="Нет"),"Право собственности",""),IF(OR(AR19="",AR19="Нет"),"Справка об отсутствии обременений",""),IF(OR(X19="",X19&lt;=0),"Площадь участка проекта",""),IF(OR(Y19="",Y19&lt;=0),"Площадь строительства",""),IF(OR(Z19="",Z19&lt;0),"Стоимость участка",""),IF(OR(AA19="",AA19&lt;0),"Строительство",""),IF(OR(AB19="",AB19&lt;0),"Налоги и резерв",""),IF(OR(AC19="",AC19&lt;0),"Ожидаемая продажа",""),IF(OR(AD19="",AD19&lt;=0),"Капитал инвестора",""),IF(OR(AE19="",AE19&lt;=0,AE19&gt;600),"Срок в месяцах",""),IF(OR(AF19="",AF19&lt;0,AF19&gt;100),"Приоритетная доходность",""),IF(OR(AG19="",AG19&lt;0,AG19&gt;100),"Доля платформы",""),IF(AND(Z19&lt;&gt;"",AA19&lt;&gt;"",AB19&lt;&gt;"",AD19&lt;&gt;"",OR((Z19+AA19+AB19)&lt;=0,AD19&gt;(Z19+AA19+AB19))),"Капитал инвестора больше бюджета",""))))</f>
        <v/>
      </c>
      <c r="AU19" s="35">
        <f>IF(NOT(COUNTA(A19:AS19)&gt;0),"",IF(TEXTJOIN(", ",TRUE,IF(AO19="","Описание",""),IF(AND(AL19&lt;&gt;"",AL19&gt;=1,AL19&lt;5),"Фото меньше 5",""),IF(AN19="","Видео",""),IF(H19="","Кадастровый номер",""),IF(AM19="","Ссылка на фото",""),IF(W19="","Цель продавца",""),IF(AJ19="","Лицензия",""),IF(AK19="","Допущения и источники",""))="","",TEXTJOIN(", ",TRUE,IF(AO19="","Описание",""),IF(AND(AL19&lt;&gt;"",AL19&gt;=1,AL19&lt;5),"Фото меньше 5",""),IF(AN19="","Видео",""),IF(H19="","Кадастровый номер",""),IF(AM19="","Ссылка на фото",""),IF(W19="","Цель продавца",""),IF(AJ19="","Лицензия",""),IF(AK19="","Допущения и источники",""))))</f>
        <v/>
      </c>
      <c r="AV19" s="35">
        <f>IF(NOT(COUNTA(A19:AS19)&gt;0),"",IF(AT19="","Можно публиковать","Не хватает"))</f>
        <v/>
      </c>
    </row>
    <row r="20" ht="22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7" t="n"/>
      <c r="K20" s="37" t="n"/>
      <c r="L20" s="37" t="n"/>
      <c r="M20" s="38" t="n"/>
      <c r="N20" s="38" t="n"/>
      <c r="O20" s="38" t="n"/>
      <c r="P20" s="38" t="n"/>
      <c r="Q20" s="38" t="n"/>
      <c r="R20" s="38" t="n"/>
      <c r="S20" s="36" t="n"/>
      <c r="T20" s="36" t="n"/>
      <c r="U20" s="36" t="n"/>
      <c r="V20" s="36" t="n"/>
      <c r="W20" s="36" t="n"/>
      <c r="X20" s="37" t="n"/>
      <c r="Y20" s="37" t="n"/>
      <c r="Z20" s="39" t="n"/>
      <c r="AA20" s="39" t="n"/>
      <c r="AB20" s="39" t="n"/>
      <c r="AC20" s="39" t="n"/>
      <c r="AD20" s="39" t="n"/>
      <c r="AE20" s="38" t="n"/>
      <c r="AF20" s="44" t="n"/>
      <c r="AG20" s="44" t="n"/>
      <c r="AH20" s="43">
        <f>IF(AND(Z20&lt;&gt;"",AA20&lt;&gt;"",AB20&lt;&gt;""),Z20+AA20+AB20,"")</f>
        <v/>
      </c>
      <c r="AI20" s="43">
        <f>IF(AND(AND(Z20&lt;&gt;"",AA20&lt;&gt;"",AB20&lt;&gt;""),AC20&lt;&gt;""),AC20-(Z20+AA20+AB20),"")</f>
        <v/>
      </c>
      <c r="AJ20" s="36" t="n"/>
      <c r="AK20" s="36" t="n"/>
      <c r="AL20" s="38" t="n"/>
      <c r="AM20" s="36" t="n"/>
      <c r="AN20" s="36" t="n"/>
      <c r="AO20" s="36" t="n"/>
      <c r="AP20" s="36" t="n"/>
      <c r="AQ20" s="36" t="n"/>
      <c r="AR20" s="36" t="n"/>
      <c r="AS20" s="36" t="n"/>
      <c r="AT20" s="35">
        <f>IF(NOT(COUNTA(A20:AS20)&gt;0),"",IF(TEXTJOIN(", ",TRUE,IF(B20="","Название",""),IF(C20="","Тип недвижимости",""),IF(D20="","Страна",""),IF(E20="","Город",""),IF(F20="","Улица",""),IF(I20="","Валюта",""),IF(OR(AL20="",AL20&lt;1),"Хотя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земли",""),IF(OR(AQ20="",AQ20="Нет"),"Право собственности",""),IF(OR(AR20="",AR20="Нет"),"Справка об отсутствии обременений",""),IF(OR(X20="",X20&lt;=0),"Площадь участка проекта",""),IF(OR(Y20="",Y20&lt;=0),"Площадь строительства",""),IF(OR(Z20="",Z20&lt;0),"Стоимость участка",""),IF(OR(AA20="",AA20&lt;0),"Строительство",""),IF(OR(AB20="",AB20&lt;0),"Налоги и резерв",""),IF(OR(AC20="",AC20&lt;0),"Ожидаемая продажа",""),IF(OR(AD20="",AD20&lt;=0),"Капитал инвестора",""),IF(OR(AE20="",AE20&lt;=0,AE20&gt;600),"Срок в месяцах",""),IF(OR(AF20="",AF20&lt;0,AF20&gt;100),"Приоритетная доходность",""),IF(OR(AG20="",AG20&lt;0,AG20&gt;100),"Доля платформы",""),IF(AND(Z20&lt;&gt;"",AA20&lt;&gt;"",AB20&lt;&gt;"",AD20&lt;&gt;"",OR((Z20+AA20+AB20)&lt;=0,AD20&gt;(Z20+AA20+AB20))),"Капитал инвестора больше бюджета",""))="","",TEXTJOIN(", ",TRUE,IF(B20="","Название",""),IF(C20="","Тип недвижимости",""),IF(D20="","Страна",""),IF(E20="","Город",""),IF(F20="","Улица",""),IF(I20="","Валюта",""),IF(OR(AL20="",AL20&lt;1),"Хотя бы 1 фото",""),IF(AND(OR(C20="Квартира",C20="Апартаменты",C20="Дом",C20="Вилла",C20="Коммерческая"),J20=""),"Площадь",""),IF(AND(OR(C20="Квартира",C20="Апартаменты"),K20=""),"Жилая площадь",""),IF(AND(OR(C20="Дом",C20="Вилла",C20="Земля"),L20=""),"Площадь участка",""),IF(AND(OR(C20="Квартира",C20="Апартаменты"),M20=""),"Комнаты",""),IF(AND(OR(C20="Дом",C20="Вилла"),N20=""),"Спальни",""),IF(AND(OR(C20="Квартира",C20="Апартаменты",C20="Дом",C20="Вилла"),O20=""),"Ванные",""),IF(AND(OR(C20="Квартира",C20="Апартаменты"),P20=""),"Этаж",""),IF(AND(OR(OR(C20="Квартира",C20="Апартаменты"),OR(C20="Дом",C20="Вилла")),Q20=""),"Этажей",""),IF(AND(OR(OR(C20="Квартира",C20="Апартаменты"),OR(C20="Дом",C20="Вилла")),OR(R20="",R20&gt;YEAR(TODAY()))),"Год постройки",""),IF(AND(P20&lt;&gt;"",Q20&lt;&gt;"",P20&gt;Q20),"Этаж больше этажности",""),IF(AND(OR(C20="Квартира",C20="Апартаменты",C20="Дом",C20="Вилла"),S20=""),"Материал",""),IF(AND(OR(C20="Коммерческая"),U20=""),"Тип коммерции",""),IF(AND(OR(C20="Земля"),V20=""),"Назначение земли",""),IF(OR(AQ20="",AQ20="Нет"),"Право собственности",""),IF(OR(AR20="",AR20="Нет"),"Справка об отсутствии обременений",""),IF(OR(X20="",X20&lt;=0),"Площадь участка проекта",""),IF(OR(Y20="",Y20&lt;=0),"Площадь строительства",""),IF(OR(Z20="",Z20&lt;0),"Стоимость участка",""),IF(OR(AA20="",AA20&lt;0),"Строительство",""),IF(OR(AB20="",AB20&lt;0),"Налоги и резерв",""),IF(OR(AC20="",AC20&lt;0),"Ожидаемая продажа",""),IF(OR(AD20="",AD20&lt;=0),"Капитал инвестора",""),IF(OR(AE20="",AE20&lt;=0,AE20&gt;600),"Срок в месяцах",""),IF(OR(AF20="",AF20&lt;0,AF20&gt;100),"Приоритетная доходность",""),IF(OR(AG20="",AG20&lt;0,AG20&gt;100),"Доля платформы",""),IF(AND(Z20&lt;&gt;"",AA20&lt;&gt;"",AB20&lt;&gt;"",AD20&lt;&gt;"",OR((Z20+AA20+AB20)&lt;=0,AD20&gt;(Z20+AA20+AB20))),"Капитал инвестора больше бюджета",""))))</f>
        <v/>
      </c>
      <c r="AU20" s="35">
        <f>IF(NOT(COUNTA(A20:AS20)&gt;0),"",IF(TEXTJOIN(", ",TRUE,IF(AO20="","Описание",""),IF(AND(AL20&lt;&gt;"",AL20&gt;=1,AL20&lt;5),"Фото меньше 5",""),IF(AN20="","Видео",""),IF(H20="","Кадастровый номер",""),IF(AM20="","Ссылка на фото",""),IF(W20="","Цель продавца",""),IF(AJ20="","Лицензия",""),IF(AK20="","Допущения и источники",""))="","",TEXTJOIN(", ",TRUE,IF(AO20="","Описание",""),IF(AND(AL20&lt;&gt;"",AL20&gt;=1,AL20&lt;5),"Фото меньше 5",""),IF(AN20="","Видео",""),IF(H20="","Кадастровый номер",""),IF(AM20="","Ссылка на фото",""),IF(W20="","Цель продавца",""),IF(AJ20="","Лицензия",""),IF(AK20="","Допущения и источники",""))))</f>
        <v/>
      </c>
      <c r="AV20" s="35">
        <f>IF(NOT(COUNTA(A20:AS20)&gt;0),"",IF(AT20="","Можно публиковать","Не хватает"))</f>
        <v/>
      </c>
    </row>
    <row r="21" ht="2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 t="n"/>
      <c r="K21" s="31" t="n"/>
      <c r="L21" s="31" t="n"/>
      <c r="M21" s="32" t="n"/>
      <c r="N21" s="32" t="n"/>
      <c r="O21" s="32" t="n"/>
      <c r="P21" s="32" t="n"/>
      <c r="Q21" s="32" t="n"/>
      <c r="R21" s="32" t="n"/>
      <c r="S21" s="30" t="n"/>
      <c r="T21" s="30" t="n"/>
      <c r="U21" s="30" t="n"/>
      <c r="V21" s="30" t="n"/>
      <c r="W21" s="30" t="n"/>
      <c r="X21" s="31" t="n"/>
      <c r="Y21" s="31" t="n"/>
      <c r="Z21" s="33" t="n"/>
      <c r="AA21" s="33" t="n"/>
      <c r="AB21" s="33" t="n"/>
      <c r="AC21" s="33" t="n"/>
      <c r="AD21" s="33" t="n"/>
      <c r="AE21" s="32" t="n"/>
      <c r="AF21" s="42" t="n"/>
      <c r="AG21" s="42" t="n"/>
      <c r="AH21" s="43">
        <f>IF(AND(Z21&lt;&gt;"",AA21&lt;&gt;"",AB21&lt;&gt;""),Z21+AA21+AB21,"")</f>
        <v/>
      </c>
      <c r="AI21" s="43">
        <f>IF(AND(AND(Z21&lt;&gt;"",AA21&lt;&gt;"",AB21&lt;&gt;""),AC21&lt;&gt;""),AC21-(Z21+AA21+AB21),"")</f>
        <v/>
      </c>
      <c r="AJ21" s="30" t="n"/>
      <c r="AK21" s="30" t="n"/>
      <c r="AL21" s="32" t="n"/>
      <c r="AM21" s="30" t="n"/>
      <c r="AN21" s="30" t="n"/>
      <c r="AO21" s="30" t="n"/>
      <c r="AP21" s="30" t="n"/>
      <c r="AQ21" s="30" t="n"/>
      <c r="AR21" s="30" t="n"/>
      <c r="AS21" s="30" t="n"/>
      <c r="AT21" s="35">
        <f>IF(NOT(COUNTA(A21:AS21)&gt;0),"",IF(TEXTJOIN(", ",TRUE,IF(B21="","Название",""),IF(C21="","Тип недвижимости",""),IF(D21="","Страна",""),IF(E21="","Город",""),IF(F21="","Улица",""),IF(I21="","Валюта",""),IF(OR(AL21="",AL21&lt;1),"Хотя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земли",""),IF(OR(AQ21="",AQ21="Нет"),"Право собственности",""),IF(OR(AR21="",AR21="Нет"),"Справка об отсутствии обременений",""),IF(OR(X21="",X21&lt;=0),"Площадь участка проекта",""),IF(OR(Y21="",Y21&lt;=0),"Площадь строительства",""),IF(OR(Z21="",Z21&lt;0),"Стоимость участка",""),IF(OR(AA21="",AA21&lt;0),"Строительство",""),IF(OR(AB21="",AB21&lt;0),"Налоги и резерв",""),IF(OR(AC21="",AC21&lt;0),"Ожидаемая продажа",""),IF(OR(AD21="",AD21&lt;=0),"Капитал инвестора",""),IF(OR(AE21="",AE21&lt;=0,AE21&gt;600),"Срок в месяцах",""),IF(OR(AF21="",AF21&lt;0,AF21&gt;100),"Приоритетная доходность",""),IF(OR(AG21="",AG21&lt;0,AG21&gt;100),"Доля платформы",""),IF(AND(Z21&lt;&gt;"",AA21&lt;&gt;"",AB21&lt;&gt;"",AD21&lt;&gt;"",OR((Z21+AA21+AB21)&lt;=0,AD21&gt;(Z21+AA21+AB21))),"Капитал инвестора больше бюджета",""))="","",TEXTJOIN(", ",TRUE,IF(B21="","Название",""),IF(C21="","Тип недвижимости",""),IF(D21="","Страна",""),IF(E21="","Город",""),IF(F21="","Улица",""),IF(I21="","Валюта",""),IF(OR(AL21="",AL21&lt;1),"Хотя бы 1 фото",""),IF(AND(OR(C21="Квартира",C21="Апартаменты",C21="Дом",C21="Вилла",C21="Коммерческая"),J21=""),"Площадь",""),IF(AND(OR(C21="Квартира",C21="Апартаменты"),K21=""),"Жилая площадь",""),IF(AND(OR(C21="Дом",C21="Вилла",C21="Земля"),L21=""),"Площадь участка",""),IF(AND(OR(C21="Квартира",C21="Апартаменты"),M21=""),"Комнаты",""),IF(AND(OR(C21="Дом",C21="Вилла"),N21=""),"Спальни",""),IF(AND(OR(C21="Квартира",C21="Апартаменты",C21="Дом",C21="Вилла"),O21=""),"Ванные",""),IF(AND(OR(C21="Квартира",C21="Апартаменты"),P21=""),"Этаж",""),IF(AND(OR(OR(C21="Квартира",C21="Апартаменты"),OR(C21="Дом",C21="Вилла")),Q21=""),"Этажей",""),IF(AND(OR(OR(C21="Квартира",C21="Апартаменты"),OR(C21="Дом",C21="Вилла")),OR(R21="",R21&gt;YEAR(TODAY()))),"Год постройки",""),IF(AND(P21&lt;&gt;"",Q21&lt;&gt;"",P21&gt;Q21),"Этаж больше этажности",""),IF(AND(OR(C21="Квартира",C21="Апартаменты",C21="Дом",C21="Вилла"),S21=""),"Материал",""),IF(AND(OR(C21="Коммерческая"),U21=""),"Тип коммерции",""),IF(AND(OR(C21="Земля"),V21=""),"Назначение земли",""),IF(OR(AQ21="",AQ21="Нет"),"Право собственности",""),IF(OR(AR21="",AR21="Нет"),"Справка об отсутствии обременений",""),IF(OR(X21="",X21&lt;=0),"Площадь участка проекта",""),IF(OR(Y21="",Y21&lt;=0),"Площадь строительства",""),IF(OR(Z21="",Z21&lt;0),"Стоимость участка",""),IF(OR(AA21="",AA21&lt;0),"Строительство",""),IF(OR(AB21="",AB21&lt;0),"Налоги и резерв",""),IF(OR(AC21="",AC21&lt;0),"Ожидаемая продажа",""),IF(OR(AD21="",AD21&lt;=0),"Капитал инвестора",""),IF(OR(AE21="",AE21&lt;=0,AE21&gt;600),"Срок в месяцах",""),IF(OR(AF21="",AF21&lt;0,AF21&gt;100),"Приоритетная доходность",""),IF(OR(AG21="",AG21&lt;0,AG21&gt;100),"Доля платформы",""),IF(AND(Z21&lt;&gt;"",AA21&lt;&gt;"",AB21&lt;&gt;"",AD21&lt;&gt;"",OR((Z21+AA21+AB21)&lt;=0,AD21&gt;(Z21+AA21+AB21))),"Капитал инвестора больше бюджета",""))))</f>
        <v/>
      </c>
      <c r="AU21" s="35">
        <f>IF(NOT(COUNTA(A21:AS21)&gt;0),"",IF(TEXTJOIN(", ",TRUE,IF(AO21="","Описание",""),IF(AND(AL21&lt;&gt;"",AL21&gt;=1,AL21&lt;5),"Фото меньше 5",""),IF(AN21="","Видео",""),IF(H21="","Кадастровый номер",""),IF(AM21="","Ссылка на фото",""),IF(W21="","Цель продавца",""),IF(AJ21="","Лицензия",""),IF(AK21="","Допущения и источники",""))="","",TEXTJOIN(", ",TRUE,IF(AO21="","Описание",""),IF(AND(AL21&lt;&gt;"",AL21&gt;=1,AL21&lt;5),"Фото меньше 5",""),IF(AN21="","Видео",""),IF(H21="","Кадастровый номер",""),IF(AM21="","Ссылка на фото",""),IF(W21="","Цель продавца",""),IF(AJ21="","Лицензия",""),IF(AK21="","Допущения и источники",""))))</f>
        <v/>
      </c>
      <c r="AV21" s="35">
        <f>IF(NOT(COUNTA(A21:AS21)&gt;0),"",IF(AT21="","Можно публиковать","Не хватает"))</f>
        <v/>
      </c>
    </row>
    <row r="22" ht="22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7" t="n"/>
      <c r="K22" s="37" t="n"/>
      <c r="L22" s="37" t="n"/>
      <c r="M22" s="38" t="n"/>
      <c r="N22" s="38" t="n"/>
      <c r="O22" s="38" t="n"/>
      <c r="P22" s="38" t="n"/>
      <c r="Q22" s="38" t="n"/>
      <c r="R22" s="38" t="n"/>
      <c r="S22" s="36" t="n"/>
      <c r="T22" s="36" t="n"/>
      <c r="U22" s="36" t="n"/>
      <c r="V22" s="36" t="n"/>
      <c r="W22" s="36" t="n"/>
      <c r="X22" s="37" t="n"/>
      <c r="Y22" s="37" t="n"/>
      <c r="Z22" s="39" t="n"/>
      <c r="AA22" s="39" t="n"/>
      <c r="AB22" s="39" t="n"/>
      <c r="AC22" s="39" t="n"/>
      <c r="AD22" s="39" t="n"/>
      <c r="AE22" s="38" t="n"/>
      <c r="AF22" s="44" t="n"/>
      <c r="AG22" s="44" t="n"/>
      <c r="AH22" s="43">
        <f>IF(AND(Z22&lt;&gt;"",AA22&lt;&gt;"",AB22&lt;&gt;""),Z22+AA22+AB22,"")</f>
        <v/>
      </c>
      <c r="AI22" s="43">
        <f>IF(AND(AND(Z22&lt;&gt;"",AA22&lt;&gt;"",AB22&lt;&gt;""),AC22&lt;&gt;""),AC22-(Z22+AA22+AB22),"")</f>
        <v/>
      </c>
      <c r="AJ22" s="36" t="n"/>
      <c r="AK22" s="36" t="n"/>
      <c r="AL22" s="38" t="n"/>
      <c r="AM22" s="36" t="n"/>
      <c r="AN22" s="36" t="n"/>
      <c r="AO22" s="36" t="n"/>
      <c r="AP22" s="36" t="n"/>
      <c r="AQ22" s="36" t="n"/>
      <c r="AR22" s="36" t="n"/>
      <c r="AS22" s="36" t="n"/>
      <c r="AT22" s="35">
        <f>IF(NOT(COUNTA(A22:AS22)&gt;0),"",IF(TEXTJOIN(", ",TRUE,IF(B22="","Название",""),IF(C22="","Тип недвижимости",""),IF(D22="","Страна",""),IF(E22="","Город",""),IF(F22="","Улица",""),IF(I22="","Валюта",""),IF(OR(AL22="",AL22&lt;1),"Хотя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земли",""),IF(OR(AQ22="",AQ22="Нет"),"Право собственности",""),IF(OR(AR22="",AR22="Нет"),"Справка об отсутствии обременений",""),IF(OR(X22="",X22&lt;=0),"Площадь участка проекта",""),IF(OR(Y22="",Y22&lt;=0),"Площадь строительства",""),IF(OR(Z22="",Z22&lt;0),"Стоимость участка",""),IF(OR(AA22="",AA22&lt;0),"Строительство",""),IF(OR(AB22="",AB22&lt;0),"Налоги и резерв",""),IF(OR(AC22="",AC22&lt;0),"Ожидаемая продажа",""),IF(OR(AD22="",AD22&lt;=0),"Капитал инвестора",""),IF(OR(AE22="",AE22&lt;=0,AE22&gt;600),"Срок в месяцах",""),IF(OR(AF22="",AF22&lt;0,AF22&gt;100),"Приоритетная доходность",""),IF(OR(AG22="",AG22&lt;0,AG22&gt;100),"Доля платформы",""),IF(AND(Z22&lt;&gt;"",AA22&lt;&gt;"",AB22&lt;&gt;"",AD22&lt;&gt;"",OR((Z22+AA22+AB22)&lt;=0,AD22&gt;(Z22+AA22+AB22))),"Капитал инвестора больше бюджета",""))="","",TEXTJOIN(", ",TRUE,IF(B22="","Название",""),IF(C22="","Тип недвижимости",""),IF(D22="","Страна",""),IF(E22="","Город",""),IF(F22="","Улица",""),IF(I22="","Валюта",""),IF(OR(AL22="",AL22&lt;1),"Хотя бы 1 фото",""),IF(AND(OR(C22="Квартира",C22="Апартаменты",C22="Дом",C22="Вилла",C22="Коммерческая"),J22=""),"Площадь",""),IF(AND(OR(C22="Квартира",C22="Апартаменты"),K22=""),"Жилая площадь",""),IF(AND(OR(C22="Дом",C22="Вилла",C22="Земля"),L22=""),"Площадь участка",""),IF(AND(OR(C22="Квартира",C22="Апартаменты"),M22=""),"Комнаты",""),IF(AND(OR(C22="Дом",C22="Вилла"),N22=""),"Спальни",""),IF(AND(OR(C22="Квартира",C22="Апартаменты",C22="Дом",C22="Вилла"),O22=""),"Ванные",""),IF(AND(OR(C22="Квартира",C22="Апартаменты"),P22=""),"Этаж",""),IF(AND(OR(OR(C22="Квартира",C22="Апартаменты"),OR(C22="Дом",C22="Вилла")),Q22=""),"Этажей",""),IF(AND(OR(OR(C22="Квартира",C22="Апартаменты"),OR(C22="Дом",C22="Вилла")),OR(R22="",R22&gt;YEAR(TODAY()))),"Год постройки",""),IF(AND(P22&lt;&gt;"",Q22&lt;&gt;"",P22&gt;Q22),"Этаж больше этажности",""),IF(AND(OR(C22="Квартира",C22="Апартаменты",C22="Дом",C22="Вилла"),S22=""),"Материал",""),IF(AND(OR(C22="Коммерческая"),U22=""),"Тип коммерции",""),IF(AND(OR(C22="Земля"),V22=""),"Назначение земли",""),IF(OR(AQ22="",AQ22="Нет"),"Право собственности",""),IF(OR(AR22="",AR22="Нет"),"Справка об отсутствии обременений",""),IF(OR(X22="",X22&lt;=0),"Площадь участка проекта",""),IF(OR(Y22="",Y22&lt;=0),"Площадь строительства",""),IF(OR(Z22="",Z22&lt;0),"Стоимость участка",""),IF(OR(AA22="",AA22&lt;0),"Строительство",""),IF(OR(AB22="",AB22&lt;0),"Налоги и резерв",""),IF(OR(AC22="",AC22&lt;0),"Ожидаемая продажа",""),IF(OR(AD22="",AD22&lt;=0),"Капитал инвестора",""),IF(OR(AE22="",AE22&lt;=0,AE22&gt;600),"Срок в месяцах",""),IF(OR(AF22="",AF22&lt;0,AF22&gt;100),"Приоритетная доходность",""),IF(OR(AG22="",AG22&lt;0,AG22&gt;100),"Доля платформы",""),IF(AND(Z22&lt;&gt;"",AA22&lt;&gt;"",AB22&lt;&gt;"",AD22&lt;&gt;"",OR((Z22+AA22+AB22)&lt;=0,AD22&gt;(Z22+AA22+AB22))),"Капитал инвестора больше бюджета",""))))</f>
        <v/>
      </c>
      <c r="AU22" s="35">
        <f>IF(NOT(COUNTA(A22:AS22)&gt;0),"",IF(TEXTJOIN(", ",TRUE,IF(AO22="","Описание",""),IF(AND(AL22&lt;&gt;"",AL22&gt;=1,AL22&lt;5),"Фото меньше 5",""),IF(AN22="","Видео",""),IF(H22="","Кадастровый номер",""),IF(AM22="","Ссылка на фото",""),IF(W22="","Цель продавца",""),IF(AJ22="","Лицензия",""),IF(AK22="","Допущения и источники",""))="","",TEXTJOIN(", ",TRUE,IF(AO22="","Описание",""),IF(AND(AL22&lt;&gt;"",AL22&gt;=1,AL22&lt;5),"Фото меньше 5",""),IF(AN22="","Видео",""),IF(H22="","Кадастровый номер",""),IF(AM22="","Ссылка на фото",""),IF(W22="","Цель продавца",""),IF(AJ22="","Лицензия",""),IF(AK22="","Допущения и источники",""))))</f>
        <v/>
      </c>
      <c r="AV22" s="35">
        <f>IF(NOT(COUNTA(A22:AS22)&gt;0),"",IF(AT22="","Можно публиковать","Не хватает"))</f>
        <v/>
      </c>
    </row>
    <row r="23" ht="2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 t="n"/>
      <c r="K23" s="31" t="n"/>
      <c r="L23" s="31" t="n"/>
      <c r="M23" s="32" t="n"/>
      <c r="N23" s="32" t="n"/>
      <c r="O23" s="32" t="n"/>
      <c r="P23" s="32" t="n"/>
      <c r="Q23" s="32" t="n"/>
      <c r="R23" s="32" t="n"/>
      <c r="S23" s="30" t="n"/>
      <c r="T23" s="30" t="n"/>
      <c r="U23" s="30" t="n"/>
      <c r="V23" s="30" t="n"/>
      <c r="W23" s="30" t="n"/>
      <c r="X23" s="31" t="n"/>
      <c r="Y23" s="31" t="n"/>
      <c r="Z23" s="33" t="n"/>
      <c r="AA23" s="33" t="n"/>
      <c r="AB23" s="33" t="n"/>
      <c r="AC23" s="33" t="n"/>
      <c r="AD23" s="33" t="n"/>
      <c r="AE23" s="32" t="n"/>
      <c r="AF23" s="42" t="n"/>
      <c r="AG23" s="42" t="n"/>
      <c r="AH23" s="43">
        <f>IF(AND(Z23&lt;&gt;"",AA23&lt;&gt;"",AB23&lt;&gt;""),Z23+AA23+AB23,"")</f>
        <v/>
      </c>
      <c r="AI23" s="43">
        <f>IF(AND(AND(Z23&lt;&gt;"",AA23&lt;&gt;"",AB23&lt;&gt;""),AC23&lt;&gt;""),AC23-(Z23+AA23+AB23),"")</f>
        <v/>
      </c>
      <c r="AJ23" s="30" t="n"/>
      <c r="AK23" s="30" t="n"/>
      <c r="AL23" s="32" t="n"/>
      <c r="AM23" s="30" t="n"/>
      <c r="AN23" s="30" t="n"/>
      <c r="AO23" s="30" t="n"/>
      <c r="AP23" s="30" t="n"/>
      <c r="AQ23" s="30" t="n"/>
      <c r="AR23" s="30" t="n"/>
      <c r="AS23" s="30" t="n"/>
      <c r="AT23" s="35">
        <f>IF(NOT(COUNTA(A23:AS23)&gt;0),"",IF(TEXTJOIN(", ",TRUE,IF(B23="","Название",""),IF(C23="","Тип недвижимости",""),IF(D23="","Страна",""),IF(E23="","Город",""),IF(F23="","Улица",""),IF(I23="","Валюта",""),IF(OR(AL23="",AL23&lt;1),"Хотя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земли",""),IF(OR(AQ23="",AQ23="Нет"),"Право собственности",""),IF(OR(AR23="",AR23="Нет"),"Справка об отсутствии обременений",""),IF(OR(X23="",X23&lt;=0),"Площадь участка проекта",""),IF(OR(Y23="",Y23&lt;=0),"Площадь строительства",""),IF(OR(Z23="",Z23&lt;0),"Стоимость участка",""),IF(OR(AA23="",AA23&lt;0),"Строительство",""),IF(OR(AB23="",AB23&lt;0),"Налоги и резерв",""),IF(OR(AC23="",AC23&lt;0),"Ожидаемая продажа",""),IF(OR(AD23="",AD23&lt;=0),"Капитал инвестора",""),IF(OR(AE23="",AE23&lt;=0,AE23&gt;600),"Срок в месяцах",""),IF(OR(AF23="",AF23&lt;0,AF23&gt;100),"Приоритетная доходность",""),IF(OR(AG23="",AG23&lt;0,AG23&gt;100),"Доля платформы",""),IF(AND(Z23&lt;&gt;"",AA23&lt;&gt;"",AB23&lt;&gt;"",AD23&lt;&gt;"",OR((Z23+AA23+AB23)&lt;=0,AD23&gt;(Z23+AA23+AB23))),"Капитал инвестора больше бюджета",""))="","",TEXTJOIN(", ",TRUE,IF(B23="","Название",""),IF(C23="","Тип недвижимости",""),IF(D23="","Страна",""),IF(E23="","Город",""),IF(F23="","Улица",""),IF(I23="","Валюта",""),IF(OR(AL23="",AL23&lt;1),"Хотя бы 1 фото",""),IF(AND(OR(C23="Квартира",C23="Апартаменты",C23="Дом",C23="Вилла",C23="Коммерческая"),J23=""),"Площадь",""),IF(AND(OR(C23="Квартира",C23="Апартаменты"),K23=""),"Жилая площадь",""),IF(AND(OR(C23="Дом",C23="Вилла",C23="Земля"),L23=""),"Площадь участка",""),IF(AND(OR(C23="Квартира",C23="Апартаменты"),M23=""),"Комнаты",""),IF(AND(OR(C23="Дом",C23="Вилла"),N23=""),"Спальни",""),IF(AND(OR(C23="Квартира",C23="Апартаменты",C23="Дом",C23="Вилла"),O23=""),"Ванные",""),IF(AND(OR(C23="Квартира",C23="Апартаменты"),P23=""),"Этаж",""),IF(AND(OR(OR(C23="Квартира",C23="Апартаменты"),OR(C23="Дом",C23="Вилла")),Q23=""),"Этажей",""),IF(AND(OR(OR(C23="Квартира",C23="Апартаменты"),OR(C23="Дом",C23="Вилла")),OR(R23="",R23&gt;YEAR(TODAY()))),"Год постройки",""),IF(AND(P23&lt;&gt;"",Q23&lt;&gt;"",P23&gt;Q23),"Этаж больше этажности",""),IF(AND(OR(C23="Квартира",C23="Апартаменты",C23="Дом",C23="Вилла"),S23=""),"Материал",""),IF(AND(OR(C23="Коммерческая"),U23=""),"Тип коммерции",""),IF(AND(OR(C23="Земля"),V23=""),"Назначение земли",""),IF(OR(AQ23="",AQ23="Нет"),"Право собственности",""),IF(OR(AR23="",AR23="Нет"),"Справка об отсутствии обременений",""),IF(OR(X23="",X23&lt;=0),"Площадь участка проекта",""),IF(OR(Y23="",Y23&lt;=0),"Площадь строительства",""),IF(OR(Z23="",Z23&lt;0),"Стоимость участка",""),IF(OR(AA23="",AA23&lt;0),"Строительство",""),IF(OR(AB23="",AB23&lt;0),"Налоги и резерв",""),IF(OR(AC23="",AC23&lt;0),"Ожидаемая продажа",""),IF(OR(AD23="",AD23&lt;=0),"Капитал инвестора",""),IF(OR(AE23="",AE23&lt;=0,AE23&gt;600),"Срок в месяцах",""),IF(OR(AF23="",AF23&lt;0,AF23&gt;100),"Приоритетная доходность",""),IF(OR(AG23="",AG23&lt;0,AG23&gt;100),"Доля платформы",""),IF(AND(Z23&lt;&gt;"",AA23&lt;&gt;"",AB23&lt;&gt;"",AD23&lt;&gt;"",OR((Z23+AA23+AB23)&lt;=0,AD23&gt;(Z23+AA23+AB23))),"Капитал инвестора больше бюджета",""))))</f>
        <v/>
      </c>
      <c r="AU23" s="35">
        <f>IF(NOT(COUNTA(A23:AS23)&gt;0),"",IF(TEXTJOIN(", ",TRUE,IF(AO23="","Описание",""),IF(AND(AL23&lt;&gt;"",AL23&gt;=1,AL23&lt;5),"Фото меньше 5",""),IF(AN23="","Видео",""),IF(H23="","Кадастровый номер",""),IF(AM23="","Ссылка на фото",""),IF(W23="","Цель продавца",""),IF(AJ23="","Лицензия",""),IF(AK23="","Допущения и источники",""))="","",TEXTJOIN(", ",TRUE,IF(AO23="","Описание",""),IF(AND(AL23&lt;&gt;"",AL23&gt;=1,AL23&lt;5),"Фото меньше 5",""),IF(AN23="","Видео",""),IF(H23="","Кадастровый номер",""),IF(AM23="","Ссылка на фото",""),IF(W23="","Цель продавца",""),IF(AJ23="","Лицензия",""),IF(AK23="","Допущения и источники",""))))</f>
        <v/>
      </c>
      <c r="AV23" s="35">
        <f>IF(NOT(COUNTA(A23:AS23)&gt;0),"",IF(AT23="","Можно публиковать","Не хватает"))</f>
        <v/>
      </c>
    </row>
    <row r="24" ht="22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7" t="n"/>
      <c r="K24" s="37" t="n"/>
      <c r="L24" s="37" t="n"/>
      <c r="M24" s="38" t="n"/>
      <c r="N24" s="38" t="n"/>
      <c r="O24" s="38" t="n"/>
      <c r="P24" s="38" t="n"/>
      <c r="Q24" s="38" t="n"/>
      <c r="R24" s="38" t="n"/>
      <c r="S24" s="36" t="n"/>
      <c r="T24" s="36" t="n"/>
      <c r="U24" s="36" t="n"/>
      <c r="V24" s="36" t="n"/>
      <c r="W24" s="36" t="n"/>
      <c r="X24" s="37" t="n"/>
      <c r="Y24" s="37" t="n"/>
      <c r="Z24" s="39" t="n"/>
      <c r="AA24" s="39" t="n"/>
      <c r="AB24" s="39" t="n"/>
      <c r="AC24" s="39" t="n"/>
      <c r="AD24" s="39" t="n"/>
      <c r="AE24" s="38" t="n"/>
      <c r="AF24" s="44" t="n"/>
      <c r="AG24" s="44" t="n"/>
      <c r="AH24" s="43">
        <f>IF(AND(Z24&lt;&gt;"",AA24&lt;&gt;"",AB24&lt;&gt;""),Z24+AA24+AB24,"")</f>
        <v/>
      </c>
      <c r="AI24" s="43">
        <f>IF(AND(AND(Z24&lt;&gt;"",AA24&lt;&gt;"",AB24&lt;&gt;""),AC24&lt;&gt;""),AC24-(Z24+AA24+AB24),"")</f>
        <v/>
      </c>
      <c r="AJ24" s="36" t="n"/>
      <c r="AK24" s="36" t="n"/>
      <c r="AL24" s="38" t="n"/>
      <c r="AM24" s="36" t="n"/>
      <c r="AN24" s="36" t="n"/>
      <c r="AO24" s="36" t="n"/>
      <c r="AP24" s="36" t="n"/>
      <c r="AQ24" s="36" t="n"/>
      <c r="AR24" s="36" t="n"/>
      <c r="AS24" s="36" t="n"/>
      <c r="AT24" s="35">
        <f>IF(NOT(COUNTA(A24:AS24)&gt;0),"",IF(TEXTJOIN(", ",TRUE,IF(B24="","Название",""),IF(C24="","Тип недвижимости",""),IF(D24="","Страна",""),IF(E24="","Город",""),IF(F24="","Улица",""),IF(I24="","Валюта",""),IF(OR(AL24="",AL24&lt;1),"Хотя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земли",""),IF(OR(AQ24="",AQ24="Нет"),"Право собственности",""),IF(OR(AR24="",AR24="Нет"),"Справка об отсутствии обременений",""),IF(OR(X24="",X24&lt;=0),"Площадь участка проекта",""),IF(OR(Y24="",Y24&lt;=0),"Площадь строительства",""),IF(OR(Z24="",Z24&lt;0),"Стоимость участка",""),IF(OR(AA24="",AA24&lt;0),"Строительство",""),IF(OR(AB24="",AB24&lt;0),"Налоги и резерв",""),IF(OR(AC24="",AC24&lt;0),"Ожидаемая продажа",""),IF(OR(AD24="",AD24&lt;=0),"Капитал инвестора",""),IF(OR(AE24="",AE24&lt;=0,AE24&gt;600),"Срок в месяцах",""),IF(OR(AF24="",AF24&lt;0,AF24&gt;100),"Приоритетная доходность",""),IF(OR(AG24="",AG24&lt;0,AG24&gt;100),"Доля платформы",""),IF(AND(Z24&lt;&gt;"",AA24&lt;&gt;"",AB24&lt;&gt;"",AD24&lt;&gt;"",OR((Z24+AA24+AB24)&lt;=0,AD24&gt;(Z24+AA24+AB24))),"Капитал инвестора больше бюджета",""))="","",TEXTJOIN(", ",TRUE,IF(B24="","Название",""),IF(C24="","Тип недвижимости",""),IF(D24="","Страна",""),IF(E24="","Город",""),IF(F24="","Улица",""),IF(I24="","Валюта",""),IF(OR(AL24="",AL24&lt;1),"Хотя бы 1 фото",""),IF(AND(OR(C24="Квартира",C24="Апартаменты",C24="Дом",C24="Вилла",C24="Коммерческая"),J24=""),"Площадь",""),IF(AND(OR(C24="Квартира",C24="Апартаменты"),K24=""),"Жилая площадь",""),IF(AND(OR(C24="Дом",C24="Вилла",C24="Земля"),L24=""),"Площадь участка",""),IF(AND(OR(C24="Квартира",C24="Апартаменты"),M24=""),"Комнаты",""),IF(AND(OR(C24="Дом",C24="Вилла"),N24=""),"Спальни",""),IF(AND(OR(C24="Квартира",C24="Апартаменты",C24="Дом",C24="Вилла"),O24=""),"Ванные",""),IF(AND(OR(C24="Квартира",C24="Апартаменты"),P24=""),"Этаж",""),IF(AND(OR(OR(C24="Квартира",C24="Апартаменты"),OR(C24="Дом",C24="Вилла")),Q24=""),"Этажей",""),IF(AND(OR(OR(C24="Квартира",C24="Апартаменты"),OR(C24="Дом",C24="Вилла")),OR(R24="",R24&gt;YEAR(TODAY()))),"Год постройки",""),IF(AND(P24&lt;&gt;"",Q24&lt;&gt;"",P24&gt;Q24),"Этаж больше этажности",""),IF(AND(OR(C24="Квартира",C24="Апартаменты",C24="Дом",C24="Вилла"),S24=""),"Материал",""),IF(AND(OR(C24="Коммерческая"),U24=""),"Тип коммерции",""),IF(AND(OR(C24="Земля"),V24=""),"Назначение земли",""),IF(OR(AQ24="",AQ24="Нет"),"Право собственности",""),IF(OR(AR24="",AR24="Нет"),"Справка об отсутствии обременений",""),IF(OR(X24="",X24&lt;=0),"Площадь участка проекта",""),IF(OR(Y24="",Y24&lt;=0),"Площадь строительства",""),IF(OR(Z24="",Z24&lt;0),"Стоимость участка",""),IF(OR(AA24="",AA24&lt;0),"Строительство",""),IF(OR(AB24="",AB24&lt;0),"Налоги и резерв",""),IF(OR(AC24="",AC24&lt;0),"Ожидаемая продажа",""),IF(OR(AD24="",AD24&lt;=0),"Капитал инвестора",""),IF(OR(AE24="",AE24&lt;=0,AE24&gt;600),"Срок в месяцах",""),IF(OR(AF24="",AF24&lt;0,AF24&gt;100),"Приоритетная доходность",""),IF(OR(AG24="",AG24&lt;0,AG24&gt;100),"Доля платформы",""),IF(AND(Z24&lt;&gt;"",AA24&lt;&gt;"",AB24&lt;&gt;"",AD24&lt;&gt;"",OR((Z24+AA24+AB24)&lt;=0,AD24&gt;(Z24+AA24+AB24))),"Капитал инвестора больше бюджета",""))))</f>
        <v/>
      </c>
      <c r="AU24" s="35">
        <f>IF(NOT(COUNTA(A24:AS24)&gt;0),"",IF(TEXTJOIN(", ",TRUE,IF(AO24="","Описание",""),IF(AND(AL24&lt;&gt;"",AL24&gt;=1,AL24&lt;5),"Фото меньше 5",""),IF(AN24="","Видео",""),IF(H24="","Кадастровый номер",""),IF(AM24="","Ссылка на фото",""),IF(W24="","Цель продавца",""),IF(AJ24="","Лицензия",""),IF(AK24="","Допущения и источники",""))="","",TEXTJOIN(", ",TRUE,IF(AO24="","Описание",""),IF(AND(AL24&lt;&gt;"",AL24&gt;=1,AL24&lt;5),"Фото меньше 5",""),IF(AN24="","Видео",""),IF(H24="","Кадастровый номер",""),IF(AM24="","Ссылка на фото",""),IF(W24="","Цель продавца",""),IF(AJ24="","Лицензия",""),IF(AK24="","Допущения и источники",""))))</f>
        <v/>
      </c>
      <c r="AV24" s="35">
        <f>IF(NOT(COUNTA(A24:AS24)&gt;0),"",IF(AT24="","Можно публиковать","Не хватает"))</f>
        <v/>
      </c>
    </row>
    <row r="25" ht="2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 t="n"/>
      <c r="K25" s="31" t="n"/>
      <c r="L25" s="31" t="n"/>
      <c r="M25" s="32" t="n"/>
      <c r="N25" s="32" t="n"/>
      <c r="O25" s="32" t="n"/>
      <c r="P25" s="32" t="n"/>
      <c r="Q25" s="32" t="n"/>
      <c r="R25" s="32" t="n"/>
      <c r="S25" s="30" t="n"/>
      <c r="T25" s="30" t="n"/>
      <c r="U25" s="30" t="n"/>
      <c r="V25" s="30" t="n"/>
      <c r="W25" s="30" t="n"/>
      <c r="X25" s="31" t="n"/>
      <c r="Y25" s="31" t="n"/>
      <c r="Z25" s="33" t="n"/>
      <c r="AA25" s="33" t="n"/>
      <c r="AB25" s="33" t="n"/>
      <c r="AC25" s="33" t="n"/>
      <c r="AD25" s="33" t="n"/>
      <c r="AE25" s="32" t="n"/>
      <c r="AF25" s="42" t="n"/>
      <c r="AG25" s="42" t="n"/>
      <c r="AH25" s="43">
        <f>IF(AND(Z25&lt;&gt;"",AA25&lt;&gt;"",AB25&lt;&gt;""),Z25+AA25+AB25,"")</f>
        <v/>
      </c>
      <c r="AI25" s="43">
        <f>IF(AND(AND(Z25&lt;&gt;"",AA25&lt;&gt;"",AB25&lt;&gt;""),AC25&lt;&gt;""),AC25-(Z25+AA25+AB25),"")</f>
        <v/>
      </c>
      <c r="AJ25" s="30" t="n"/>
      <c r="AK25" s="30" t="n"/>
      <c r="AL25" s="32" t="n"/>
      <c r="AM25" s="30" t="n"/>
      <c r="AN25" s="30" t="n"/>
      <c r="AO25" s="30" t="n"/>
      <c r="AP25" s="30" t="n"/>
      <c r="AQ25" s="30" t="n"/>
      <c r="AR25" s="30" t="n"/>
      <c r="AS25" s="30" t="n"/>
      <c r="AT25" s="35">
        <f>IF(NOT(COUNTA(A25:AS25)&gt;0),"",IF(TEXTJOIN(", ",TRUE,IF(B25="","Название",""),IF(C25="","Тип недвижимости",""),IF(D25="","Страна",""),IF(E25="","Город",""),IF(F25="","Улица",""),IF(I25="","Валюта",""),IF(OR(AL25="",AL25&lt;1),"Хотя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земли",""),IF(OR(AQ25="",AQ25="Нет"),"Право собственности",""),IF(OR(AR25="",AR25="Нет"),"Справка об отсутствии обременений",""),IF(OR(X25="",X25&lt;=0),"Площадь участка проекта",""),IF(OR(Y25="",Y25&lt;=0),"Площадь строительства",""),IF(OR(Z25="",Z25&lt;0),"Стоимость участка",""),IF(OR(AA25="",AA25&lt;0),"Строительство",""),IF(OR(AB25="",AB25&lt;0),"Налоги и резерв",""),IF(OR(AC25="",AC25&lt;0),"Ожидаемая продажа",""),IF(OR(AD25="",AD25&lt;=0),"Капитал инвестора",""),IF(OR(AE25="",AE25&lt;=0,AE25&gt;600),"Срок в месяцах",""),IF(OR(AF25="",AF25&lt;0,AF25&gt;100),"Приоритетная доходность",""),IF(OR(AG25="",AG25&lt;0,AG25&gt;100),"Доля платформы",""),IF(AND(Z25&lt;&gt;"",AA25&lt;&gt;"",AB25&lt;&gt;"",AD25&lt;&gt;"",OR((Z25+AA25+AB25)&lt;=0,AD25&gt;(Z25+AA25+AB25))),"Капитал инвестора больше бюджета",""))="","",TEXTJOIN(", ",TRUE,IF(B25="","Название",""),IF(C25="","Тип недвижимости",""),IF(D25="","Страна",""),IF(E25="","Город",""),IF(F25="","Улица",""),IF(I25="","Валюта",""),IF(OR(AL25="",AL25&lt;1),"Хотя бы 1 фото",""),IF(AND(OR(C25="Квартира",C25="Апартаменты",C25="Дом",C25="Вилла",C25="Коммерческая"),J25=""),"Площадь",""),IF(AND(OR(C25="Квартира",C25="Апартаменты"),K25=""),"Жилая площадь",""),IF(AND(OR(C25="Дом",C25="Вилла",C25="Земля"),L25=""),"Площадь участка",""),IF(AND(OR(C25="Квартира",C25="Апартаменты"),M25=""),"Комнаты",""),IF(AND(OR(C25="Дом",C25="Вилла"),N25=""),"Спальни",""),IF(AND(OR(C25="Квартира",C25="Апартаменты",C25="Дом",C25="Вилла"),O25=""),"Ванные",""),IF(AND(OR(C25="Квартира",C25="Апартаменты"),P25=""),"Этаж",""),IF(AND(OR(OR(C25="Квартира",C25="Апартаменты"),OR(C25="Дом",C25="Вилла")),Q25=""),"Этажей",""),IF(AND(OR(OR(C25="Квартира",C25="Апартаменты"),OR(C25="Дом",C25="Вилла")),OR(R25="",R25&gt;YEAR(TODAY()))),"Год постройки",""),IF(AND(P25&lt;&gt;"",Q25&lt;&gt;"",P25&gt;Q25),"Этаж больше этажности",""),IF(AND(OR(C25="Квартира",C25="Апартаменты",C25="Дом",C25="Вилла"),S25=""),"Материал",""),IF(AND(OR(C25="Коммерческая"),U25=""),"Тип коммерции",""),IF(AND(OR(C25="Земля"),V25=""),"Назначение земли",""),IF(OR(AQ25="",AQ25="Нет"),"Право собственности",""),IF(OR(AR25="",AR25="Нет"),"Справка об отсутствии обременений",""),IF(OR(X25="",X25&lt;=0),"Площадь участка проекта",""),IF(OR(Y25="",Y25&lt;=0),"Площадь строительства",""),IF(OR(Z25="",Z25&lt;0),"Стоимость участка",""),IF(OR(AA25="",AA25&lt;0),"Строительство",""),IF(OR(AB25="",AB25&lt;0),"Налоги и резерв",""),IF(OR(AC25="",AC25&lt;0),"Ожидаемая продажа",""),IF(OR(AD25="",AD25&lt;=0),"Капитал инвестора",""),IF(OR(AE25="",AE25&lt;=0,AE25&gt;600),"Срок в месяцах",""),IF(OR(AF25="",AF25&lt;0,AF25&gt;100),"Приоритетная доходность",""),IF(OR(AG25="",AG25&lt;0,AG25&gt;100),"Доля платформы",""),IF(AND(Z25&lt;&gt;"",AA25&lt;&gt;"",AB25&lt;&gt;"",AD25&lt;&gt;"",OR((Z25+AA25+AB25)&lt;=0,AD25&gt;(Z25+AA25+AB25))),"Капитал инвестора больше бюджета",""))))</f>
        <v/>
      </c>
      <c r="AU25" s="35">
        <f>IF(NOT(COUNTA(A25:AS25)&gt;0),"",IF(TEXTJOIN(", ",TRUE,IF(AO25="","Описание",""),IF(AND(AL25&lt;&gt;"",AL25&gt;=1,AL25&lt;5),"Фото меньше 5",""),IF(AN25="","Видео",""),IF(H25="","Кадастровый номер",""),IF(AM25="","Ссылка на фото",""),IF(W25="","Цель продавца",""),IF(AJ25="","Лицензия",""),IF(AK25="","Допущения и источники",""))="","",TEXTJOIN(", ",TRUE,IF(AO25="","Описание",""),IF(AND(AL25&lt;&gt;"",AL25&gt;=1,AL25&lt;5),"Фото меньше 5",""),IF(AN25="","Видео",""),IF(H25="","Кадастровый номер",""),IF(AM25="","Ссылка на фото",""),IF(W25="","Цель продавца",""),IF(AJ25="","Лицензия",""),IF(AK25="","Допущения и источники",""))))</f>
        <v/>
      </c>
      <c r="AV25" s="35">
        <f>IF(NOT(COUNTA(A25:AS25)&gt;0),"",IF(AT25="","Можно публиковать","Не хватает"))</f>
        <v/>
      </c>
    </row>
    <row r="26" ht="22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7" t="n"/>
      <c r="K26" s="37" t="n"/>
      <c r="L26" s="37" t="n"/>
      <c r="M26" s="38" t="n"/>
      <c r="N26" s="38" t="n"/>
      <c r="O26" s="38" t="n"/>
      <c r="P26" s="38" t="n"/>
      <c r="Q26" s="38" t="n"/>
      <c r="R26" s="38" t="n"/>
      <c r="S26" s="36" t="n"/>
      <c r="T26" s="36" t="n"/>
      <c r="U26" s="36" t="n"/>
      <c r="V26" s="36" t="n"/>
      <c r="W26" s="36" t="n"/>
      <c r="X26" s="37" t="n"/>
      <c r="Y26" s="37" t="n"/>
      <c r="Z26" s="39" t="n"/>
      <c r="AA26" s="39" t="n"/>
      <c r="AB26" s="39" t="n"/>
      <c r="AC26" s="39" t="n"/>
      <c r="AD26" s="39" t="n"/>
      <c r="AE26" s="38" t="n"/>
      <c r="AF26" s="44" t="n"/>
      <c r="AG26" s="44" t="n"/>
      <c r="AH26" s="43">
        <f>IF(AND(Z26&lt;&gt;"",AA26&lt;&gt;"",AB26&lt;&gt;""),Z26+AA26+AB26,"")</f>
        <v/>
      </c>
      <c r="AI26" s="43">
        <f>IF(AND(AND(Z26&lt;&gt;"",AA26&lt;&gt;"",AB26&lt;&gt;""),AC26&lt;&gt;""),AC26-(Z26+AA26+AB26),"")</f>
        <v/>
      </c>
      <c r="AJ26" s="36" t="n"/>
      <c r="AK26" s="36" t="n"/>
      <c r="AL26" s="38" t="n"/>
      <c r="AM26" s="36" t="n"/>
      <c r="AN26" s="36" t="n"/>
      <c r="AO26" s="36" t="n"/>
      <c r="AP26" s="36" t="n"/>
      <c r="AQ26" s="36" t="n"/>
      <c r="AR26" s="36" t="n"/>
      <c r="AS26" s="36" t="n"/>
      <c r="AT26" s="35">
        <f>IF(NOT(COUNTA(A26:AS26)&gt;0),"",IF(TEXTJOIN(", ",TRUE,IF(B26="","Название",""),IF(C26="","Тип недвижимости",""),IF(D26="","Страна",""),IF(E26="","Город",""),IF(F26="","Улица",""),IF(I26="","Валюта",""),IF(OR(AL26="",AL26&lt;1),"Хотя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земли",""),IF(OR(AQ26="",AQ26="Нет"),"Право собственности",""),IF(OR(AR26="",AR26="Нет"),"Справка об отсутствии обременений",""),IF(OR(X26="",X26&lt;=0),"Площадь участка проекта",""),IF(OR(Y26="",Y26&lt;=0),"Площадь строительства",""),IF(OR(Z26="",Z26&lt;0),"Стоимость участка",""),IF(OR(AA26="",AA26&lt;0),"Строительство",""),IF(OR(AB26="",AB26&lt;0),"Налоги и резерв",""),IF(OR(AC26="",AC26&lt;0),"Ожидаемая продажа",""),IF(OR(AD26="",AD26&lt;=0),"Капитал инвестора",""),IF(OR(AE26="",AE26&lt;=0,AE26&gt;600),"Срок в месяцах",""),IF(OR(AF26="",AF26&lt;0,AF26&gt;100),"Приоритетная доходность",""),IF(OR(AG26="",AG26&lt;0,AG26&gt;100),"Доля платформы",""),IF(AND(Z26&lt;&gt;"",AA26&lt;&gt;"",AB26&lt;&gt;"",AD26&lt;&gt;"",OR((Z26+AA26+AB26)&lt;=0,AD26&gt;(Z26+AA26+AB26))),"Капитал инвестора больше бюджета",""))="","",TEXTJOIN(", ",TRUE,IF(B26="","Название",""),IF(C26="","Тип недвижимости",""),IF(D26="","Страна",""),IF(E26="","Город",""),IF(F26="","Улица",""),IF(I26="","Валюта",""),IF(OR(AL26="",AL26&lt;1),"Хотя бы 1 фото",""),IF(AND(OR(C26="Квартира",C26="Апартаменты",C26="Дом",C26="Вилла",C26="Коммерческая"),J26=""),"Площадь",""),IF(AND(OR(C26="Квартира",C26="Апартаменты"),K26=""),"Жилая площадь",""),IF(AND(OR(C26="Дом",C26="Вилла",C26="Земля"),L26=""),"Площадь участка",""),IF(AND(OR(C26="Квартира",C26="Апартаменты"),M26=""),"Комнаты",""),IF(AND(OR(C26="Дом",C26="Вилла"),N26=""),"Спальни",""),IF(AND(OR(C26="Квартира",C26="Апартаменты",C26="Дом",C26="Вилла"),O26=""),"Ванные",""),IF(AND(OR(C26="Квартира",C26="Апартаменты"),P26=""),"Этаж",""),IF(AND(OR(OR(C26="Квартира",C26="Апартаменты"),OR(C26="Дом",C26="Вилла")),Q26=""),"Этажей",""),IF(AND(OR(OR(C26="Квартира",C26="Апартаменты"),OR(C26="Дом",C26="Вилла")),OR(R26="",R26&gt;YEAR(TODAY()))),"Год постройки",""),IF(AND(P26&lt;&gt;"",Q26&lt;&gt;"",P26&gt;Q26),"Этаж больше этажности",""),IF(AND(OR(C26="Квартира",C26="Апартаменты",C26="Дом",C26="Вилла"),S26=""),"Материал",""),IF(AND(OR(C26="Коммерческая"),U26=""),"Тип коммерции",""),IF(AND(OR(C26="Земля"),V26=""),"Назначение земли",""),IF(OR(AQ26="",AQ26="Нет"),"Право собственности",""),IF(OR(AR26="",AR26="Нет"),"Справка об отсутствии обременений",""),IF(OR(X26="",X26&lt;=0),"Площадь участка проекта",""),IF(OR(Y26="",Y26&lt;=0),"Площадь строительства",""),IF(OR(Z26="",Z26&lt;0),"Стоимость участка",""),IF(OR(AA26="",AA26&lt;0),"Строительство",""),IF(OR(AB26="",AB26&lt;0),"Налоги и резерв",""),IF(OR(AC26="",AC26&lt;0),"Ожидаемая продажа",""),IF(OR(AD26="",AD26&lt;=0),"Капитал инвестора",""),IF(OR(AE26="",AE26&lt;=0,AE26&gt;600),"Срок в месяцах",""),IF(OR(AF26="",AF26&lt;0,AF26&gt;100),"Приоритетная доходность",""),IF(OR(AG26="",AG26&lt;0,AG26&gt;100),"Доля платформы",""),IF(AND(Z26&lt;&gt;"",AA26&lt;&gt;"",AB26&lt;&gt;"",AD26&lt;&gt;"",OR((Z26+AA26+AB26)&lt;=0,AD26&gt;(Z26+AA26+AB26))),"Капитал инвестора больше бюджета",""))))</f>
        <v/>
      </c>
      <c r="AU26" s="35">
        <f>IF(NOT(COUNTA(A26:AS26)&gt;0),"",IF(TEXTJOIN(", ",TRUE,IF(AO26="","Описание",""),IF(AND(AL26&lt;&gt;"",AL26&gt;=1,AL26&lt;5),"Фото меньше 5",""),IF(AN26="","Видео",""),IF(H26="","Кадастровый номер",""),IF(AM26="","Ссылка на фото",""),IF(W26="","Цель продавца",""),IF(AJ26="","Лицензия",""),IF(AK26="","Допущения и источники",""))="","",TEXTJOIN(", ",TRUE,IF(AO26="","Описание",""),IF(AND(AL26&lt;&gt;"",AL26&gt;=1,AL26&lt;5),"Фото меньше 5",""),IF(AN26="","Видео",""),IF(H26="","Кадастровый номер",""),IF(AM26="","Ссылка на фото",""),IF(W26="","Цель продавца",""),IF(AJ26="","Лицензия",""),IF(AK26="","Допущения и источники",""))))</f>
        <v/>
      </c>
      <c r="AV26" s="35">
        <f>IF(NOT(COUNTA(A26:AS26)&gt;0),"",IF(AT26="","Можно публиковать","Не хватает"))</f>
        <v/>
      </c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 t="n"/>
      <c r="K27" s="31" t="n"/>
      <c r="L27" s="31" t="n"/>
      <c r="M27" s="32" t="n"/>
      <c r="N27" s="32" t="n"/>
      <c r="O27" s="32" t="n"/>
      <c r="P27" s="32" t="n"/>
      <c r="Q27" s="32" t="n"/>
      <c r="R27" s="32" t="n"/>
      <c r="S27" s="30" t="n"/>
      <c r="T27" s="30" t="n"/>
      <c r="U27" s="30" t="n"/>
      <c r="V27" s="30" t="n"/>
      <c r="W27" s="30" t="n"/>
      <c r="X27" s="31" t="n"/>
      <c r="Y27" s="31" t="n"/>
      <c r="Z27" s="33" t="n"/>
      <c r="AA27" s="33" t="n"/>
      <c r="AB27" s="33" t="n"/>
      <c r="AC27" s="33" t="n"/>
      <c r="AD27" s="33" t="n"/>
      <c r="AE27" s="32" t="n"/>
      <c r="AF27" s="42" t="n"/>
      <c r="AG27" s="42" t="n"/>
      <c r="AH27" s="43">
        <f>IF(AND(Z27&lt;&gt;"",AA27&lt;&gt;"",AB27&lt;&gt;""),Z27+AA27+AB27,"")</f>
        <v/>
      </c>
      <c r="AI27" s="43">
        <f>IF(AND(AND(Z27&lt;&gt;"",AA27&lt;&gt;"",AB27&lt;&gt;""),AC27&lt;&gt;""),AC27-(Z27+AA27+AB27),"")</f>
        <v/>
      </c>
      <c r="AJ27" s="30" t="n"/>
      <c r="AK27" s="30" t="n"/>
      <c r="AL27" s="32" t="n"/>
      <c r="AM27" s="30" t="n"/>
      <c r="AN27" s="30" t="n"/>
      <c r="AO27" s="30" t="n"/>
      <c r="AP27" s="30" t="n"/>
      <c r="AQ27" s="30" t="n"/>
      <c r="AR27" s="30" t="n"/>
      <c r="AS27" s="30" t="n"/>
      <c r="AT27" s="35">
        <f>IF(NOT(COUNTA(A27:AS27)&gt;0),"",IF(TEXTJOIN(", ",TRUE,IF(B27="","Название",""),IF(C27="","Тип недвижимости",""),IF(D27="","Страна",""),IF(E27="","Город",""),IF(F27="","Улица",""),IF(I27="","Валюта",""),IF(OR(AL27="",AL27&lt;1),"Хотя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земли",""),IF(OR(AQ27="",AQ27="Нет"),"Право собственности",""),IF(OR(AR27="",AR27="Нет"),"Справка об отсутствии обременений",""),IF(OR(X27="",X27&lt;=0),"Площадь участка проекта",""),IF(OR(Y27="",Y27&lt;=0),"Площадь строительства",""),IF(OR(Z27="",Z27&lt;0),"Стоимость участка",""),IF(OR(AA27="",AA27&lt;0),"Строительство",""),IF(OR(AB27="",AB27&lt;0),"Налоги и резерв",""),IF(OR(AC27="",AC27&lt;0),"Ожидаемая продажа",""),IF(OR(AD27="",AD27&lt;=0),"Капитал инвестора",""),IF(OR(AE27="",AE27&lt;=0,AE27&gt;600),"Срок в месяцах",""),IF(OR(AF27="",AF27&lt;0,AF27&gt;100),"Приоритетная доходность",""),IF(OR(AG27="",AG27&lt;0,AG27&gt;100),"Доля платформы",""),IF(AND(Z27&lt;&gt;"",AA27&lt;&gt;"",AB27&lt;&gt;"",AD27&lt;&gt;"",OR((Z27+AA27+AB27)&lt;=0,AD27&gt;(Z27+AA27+AB27))),"Капитал инвестора больше бюджета",""))="","",TEXTJOIN(", ",TRUE,IF(B27="","Название",""),IF(C27="","Тип недвижимости",""),IF(D27="","Страна",""),IF(E27="","Город",""),IF(F27="","Улица",""),IF(I27="","Валюта",""),IF(OR(AL27="",AL27&lt;1),"Хотя бы 1 фото",""),IF(AND(OR(C27="Квартира",C27="Апартаменты",C27="Дом",C27="Вилла",C27="Коммерческая"),J27=""),"Площадь",""),IF(AND(OR(C27="Квартира",C27="Апартаменты"),K27=""),"Жилая площадь",""),IF(AND(OR(C27="Дом",C27="Вилла",C27="Земля"),L27=""),"Площадь участка",""),IF(AND(OR(C27="Квартира",C27="Апартаменты"),M27=""),"Комнаты",""),IF(AND(OR(C27="Дом",C27="Вилла"),N27=""),"Спальни",""),IF(AND(OR(C27="Квартира",C27="Апартаменты",C27="Дом",C27="Вилла"),O27=""),"Ванные",""),IF(AND(OR(C27="Квартира",C27="Апартаменты"),P27=""),"Этаж",""),IF(AND(OR(OR(C27="Квартира",C27="Апартаменты"),OR(C27="Дом",C27="Вилла")),Q27=""),"Этажей",""),IF(AND(OR(OR(C27="Квартира",C27="Апартаменты"),OR(C27="Дом",C27="Вилла")),OR(R27="",R27&gt;YEAR(TODAY()))),"Год постройки",""),IF(AND(P27&lt;&gt;"",Q27&lt;&gt;"",P27&gt;Q27),"Этаж больше этажности",""),IF(AND(OR(C27="Квартира",C27="Апартаменты",C27="Дом",C27="Вилла"),S27=""),"Материал",""),IF(AND(OR(C27="Коммерческая"),U27=""),"Тип коммерции",""),IF(AND(OR(C27="Земля"),V27=""),"Назначение земли",""),IF(OR(AQ27="",AQ27="Нет"),"Право собственности",""),IF(OR(AR27="",AR27="Нет"),"Справка об отсутствии обременений",""),IF(OR(X27="",X27&lt;=0),"Площадь участка проекта",""),IF(OR(Y27="",Y27&lt;=0),"Площадь строительства",""),IF(OR(Z27="",Z27&lt;0),"Стоимость участка",""),IF(OR(AA27="",AA27&lt;0),"Строительство",""),IF(OR(AB27="",AB27&lt;0),"Налоги и резерв",""),IF(OR(AC27="",AC27&lt;0),"Ожидаемая продажа",""),IF(OR(AD27="",AD27&lt;=0),"Капитал инвестора",""),IF(OR(AE27="",AE27&lt;=0,AE27&gt;600),"Срок в месяцах",""),IF(OR(AF27="",AF27&lt;0,AF27&gt;100),"Приоритетная доходность",""),IF(OR(AG27="",AG27&lt;0,AG27&gt;100),"Доля платформы",""),IF(AND(Z27&lt;&gt;"",AA27&lt;&gt;"",AB27&lt;&gt;"",AD27&lt;&gt;"",OR((Z27+AA27+AB27)&lt;=0,AD27&gt;(Z27+AA27+AB27))),"Капитал инвестора больше бюджета",""))))</f>
        <v/>
      </c>
      <c r="AU27" s="35">
        <f>IF(NOT(COUNTA(A27:AS27)&gt;0),"",IF(TEXTJOIN(", ",TRUE,IF(AO27="","Описание",""),IF(AND(AL27&lt;&gt;"",AL27&gt;=1,AL27&lt;5),"Фото меньше 5",""),IF(AN27="","Видео",""),IF(H27="","Кадастровый номер",""),IF(AM27="","Ссылка на фото",""),IF(W27="","Цель продавца",""),IF(AJ27="","Лицензия",""),IF(AK27="","Допущения и источники",""))="","",TEXTJOIN(", ",TRUE,IF(AO27="","Описание",""),IF(AND(AL27&lt;&gt;"",AL27&gt;=1,AL27&lt;5),"Фото меньше 5",""),IF(AN27="","Видео",""),IF(H27="","Кадастровый номер",""),IF(AM27="","Ссылка на фото",""),IF(W27="","Цель продавца",""),IF(AJ27="","Лицензия",""),IF(AK27="","Допущения и источники",""))))</f>
        <v/>
      </c>
      <c r="AV27" s="35">
        <f>IF(NOT(COUNTA(A27:AS27)&gt;0),"",IF(AT27="","Можно публиковать","Не хватает"))</f>
        <v/>
      </c>
    </row>
    <row r="28" ht="22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7" t="n"/>
      <c r="K28" s="37" t="n"/>
      <c r="L28" s="37" t="n"/>
      <c r="M28" s="38" t="n"/>
      <c r="N28" s="38" t="n"/>
      <c r="O28" s="38" t="n"/>
      <c r="P28" s="38" t="n"/>
      <c r="Q28" s="38" t="n"/>
      <c r="R28" s="38" t="n"/>
      <c r="S28" s="36" t="n"/>
      <c r="T28" s="36" t="n"/>
      <c r="U28" s="36" t="n"/>
      <c r="V28" s="36" t="n"/>
      <c r="W28" s="36" t="n"/>
      <c r="X28" s="37" t="n"/>
      <c r="Y28" s="37" t="n"/>
      <c r="Z28" s="39" t="n"/>
      <c r="AA28" s="39" t="n"/>
      <c r="AB28" s="39" t="n"/>
      <c r="AC28" s="39" t="n"/>
      <c r="AD28" s="39" t="n"/>
      <c r="AE28" s="38" t="n"/>
      <c r="AF28" s="44" t="n"/>
      <c r="AG28" s="44" t="n"/>
      <c r="AH28" s="43">
        <f>IF(AND(Z28&lt;&gt;"",AA28&lt;&gt;"",AB28&lt;&gt;""),Z28+AA28+AB28,"")</f>
        <v/>
      </c>
      <c r="AI28" s="43">
        <f>IF(AND(AND(Z28&lt;&gt;"",AA28&lt;&gt;"",AB28&lt;&gt;""),AC28&lt;&gt;""),AC28-(Z28+AA28+AB28),"")</f>
        <v/>
      </c>
      <c r="AJ28" s="36" t="n"/>
      <c r="AK28" s="36" t="n"/>
      <c r="AL28" s="38" t="n"/>
      <c r="AM28" s="36" t="n"/>
      <c r="AN28" s="36" t="n"/>
      <c r="AO28" s="36" t="n"/>
      <c r="AP28" s="36" t="n"/>
      <c r="AQ28" s="36" t="n"/>
      <c r="AR28" s="36" t="n"/>
      <c r="AS28" s="36" t="n"/>
      <c r="AT28" s="35">
        <f>IF(NOT(COUNTA(A28:AS28)&gt;0),"",IF(TEXTJOIN(", ",TRUE,IF(B28="","Название",""),IF(C28="","Тип недвижимости",""),IF(D28="","Страна",""),IF(E28="","Город",""),IF(F28="","Улица",""),IF(I28="","Валюта",""),IF(OR(AL28="",AL28&lt;1),"Хотя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земли",""),IF(OR(AQ28="",AQ28="Нет"),"Право собственности",""),IF(OR(AR28="",AR28="Нет"),"Справка об отсутствии обременений",""),IF(OR(X28="",X28&lt;=0),"Площадь участка проекта",""),IF(OR(Y28="",Y28&lt;=0),"Площадь строительства",""),IF(OR(Z28="",Z28&lt;0),"Стоимость участка",""),IF(OR(AA28="",AA28&lt;0),"Строительство",""),IF(OR(AB28="",AB28&lt;0),"Налоги и резерв",""),IF(OR(AC28="",AC28&lt;0),"Ожидаемая продажа",""),IF(OR(AD28="",AD28&lt;=0),"Капитал инвестора",""),IF(OR(AE28="",AE28&lt;=0,AE28&gt;600),"Срок в месяцах",""),IF(OR(AF28="",AF28&lt;0,AF28&gt;100),"Приоритетная доходность",""),IF(OR(AG28="",AG28&lt;0,AG28&gt;100),"Доля платформы",""),IF(AND(Z28&lt;&gt;"",AA28&lt;&gt;"",AB28&lt;&gt;"",AD28&lt;&gt;"",OR((Z28+AA28+AB28)&lt;=0,AD28&gt;(Z28+AA28+AB28))),"Капитал инвестора больше бюджета",""))="","",TEXTJOIN(", ",TRUE,IF(B28="","Название",""),IF(C28="","Тип недвижимости",""),IF(D28="","Страна",""),IF(E28="","Город",""),IF(F28="","Улица",""),IF(I28="","Валюта",""),IF(OR(AL28="",AL28&lt;1),"Хотя бы 1 фото",""),IF(AND(OR(C28="Квартира",C28="Апартаменты",C28="Дом",C28="Вилла",C28="Коммерческая"),J28=""),"Площадь",""),IF(AND(OR(C28="Квартира",C28="Апартаменты"),K28=""),"Жилая площадь",""),IF(AND(OR(C28="Дом",C28="Вилла",C28="Земля"),L28=""),"Площадь участка",""),IF(AND(OR(C28="Квартира",C28="Апартаменты"),M28=""),"Комнаты",""),IF(AND(OR(C28="Дом",C28="Вилла"),N28=""),"Спальни",""),IF(AND(OR(C28="Квартира",C28="Апартаменты",C28="Дом",C28="Вилла"),O28=""),"Ванные",""),IF(AND(OR(C28="Квартира",C28="Апартаменты"),P28=""),"Этаж",""),IF(AND(OR(OR(C28="Квартира",C28="Апартаменты"),OR(C28="Дом",C28="Вилла")),Q28=""),"Этажей",""),IF(AND(OR(OR(C28="Квартира",C28="Апартаменты"),OR(C28="Дом",C28="Вилла")),OR(R28="",R28&gt;YEAR(TODAY()))),"Год постройки",""),IF(AND(P28&lt;&gt;"",Q28&lt;&gt;"",P28&gt;Q28),"Этаж больше этажности",""),IF(AND(OR(C28="Квартира",C28="Апартаменты",C28="Дом",C28="Вилла"),S28=""),"Материал",""),IF(AND(OR(C28="Коммерческая"),U28=""),"Тип коммерции",""),IF(AND(OR(C28="Земля"),V28=""),"Назначение земли",""),IF(OR(AQ28="",AQ28="Нет"),"Право собственности",""),IF(OR(AR28="",AR28="Нет"),"Справка об отсутствии обременений",""),IF(OR(X28="",X28&lt;=0),"Площадь участка проекта",""),IF(OR(Y28="",Y28&lt;=0),"Площадь строительства",""),IF(OR(Z28="",Z28&lt;0),"Стоимость участка",""),IF(OR(AA28="",AA28&lt;0),"Строительство",""),IF(OR(AB28="",AB28&lt;0),"Налоги и резерв",""),IF(OR(AC28="",AC28&lt;0),"Ожидаемая продажа",""),IF(OR(AD28="",AD28&lt;=0),"Капитал инвестора",""),IF(OR(AE28="",AE28&lt;=0,AE28&gt;600),"Срок в месяцах",""),IF(OR(AF28="",AF28&lt;0,AF28&gt;100),"Приоритетная доходность",""),IF(OR(AG28="",AG28&lt;0,AG28&gt;100),"Доля платформы",""),IF(AND(Z28&lt;&gt;"",AA28&lt;&gt;"",AB28&lt;&gt;"",AD28&lt;&gt;"",OR((Z28+AA28+AB28)&lt;=0,AD28&gt;(Z28+AA28+AB28))),"Капитал инвестора больше бюджета",""))))</f>
        <v/>
      </c>
      <c r="AU28" s="35">
        <f>IF(NOT(COUNTA(A28:AS28)&gt;0),"",IF(TEXTJOIN(", ",TRUE,IF(AO28="","Описание",""),IF(AND(AL28&lt;&gt;"",AL28&gt;=1,AL28&lt;5),"Фото меньше 5",""),IF(AN28="","Видео",""),IF(H28="","Кадастровый номер",""),IF(AM28="","Ссылка на фото",""),IF(W28="","Цель продавца",""),IF(AJ28="","Лицензия",""),IF(AK28="","Допущения и источники",""))="","",TEXTJOIN(", ",TRUE,IF(AO28="","Описание",""),IF(AND(AL28&lt;&gt;"",AL28&gt;=1,AL28&lt;5),"Фото меньше 5",""),IF(AN28="","Видео",""),IF(H28="","Кадастровый номер",""),IF(AM28="","Ссылка на фото",""),IF(W28="","Цель продавца",""),IF(AJ28="","Лицензия",""),IF(AK28="","Допущения и источники",""))))</f>
        <v/>
      </c>
      <c r="AV28" s="35">
        <f>IF(NOT(COUNTA(A28:AS28)&gt;0),"",IF(AT28="","Можно публиковать","Не хватает"))</f>
        <v/>
      </c>
    </row>
    <row r="29" ht="22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 t="n"/>
      <c r="K29" s="31" t="n"/>
      <c r="L29" s="31" t="n"/>
      <c r="M29" s="32" t="n"/>
      <c r="N29" s="32" t="n"/>
      <c r="O29" s="32" t="n"/>
      <c r="P29" s="32" t="n"/>
      <c r="Q29" s="32" t="n"/>
      <c r="R29" s="32" t="n"/>
      <c r="S29" s="30" t="n"/>
      <c r="T29" s="30" t="n"/>
      <c r="U29" s="30" t="n"/>
      <c r="V29" s="30" t="n"/>
      <c r="W29" s="30" t="n"/>
      <c r="X29" s="31" t="n"/>
      <c r="Y29" s="31" t="n"/>
      <c r="Z29" s="33" t="n"/>
      <c r="AA29" s="33" t="n"/>
      <c r="AB29" s="33" t="n"/>
      <c r="AC29" s="33" t="n"/>
      <c r="AD29" s="33" t="n"/>
      <c r="AE29" s="32" t="n"/>
      <c r="AF29" s="42" t="n"/>
      <c r="AG29" s="42" t="n"/>
      <c r="AH29" s="43">
        <f>IF(AND(Z29&lt;&gt;"",AA29&lt;&gt;"",AB29&lt;&gt;""),Z29+AA29+AB29,"")</f>
        <v/>
      </c>
      <c r="AI29" s="43">
        <f>IF(AND(AND(Z29&lt;&gt;"",AA29&lt;&gt;"",AB29&lt;&gt;""),AC29&lt;&gt;""),AC29-(Z29+AA29+AB29),"")</f>
        <v/>
      </c>
      <c r="AJ29" s="30" t="n"/>
      <c r="AK29" s="30" t="n"/>
      <c r="AL29" s="32" t="n"/>
      <c r="AM29" s="30" t="n"/>
      <c r="AN29" s="30" t="n"/>
      <c r="AO29" s="30" t="n"/>
      <c r="AP29" s="30" t="n"/>
      <c r="AQ29" s="30" t="n"/>
      <c r="AR29" s="30" t="n"/>
      <c r="AS29" s="30" t="n"/>
      <c r="AT29" s="35">
        <f>IF(NOT(COUNTA(A29:AS29)&gt;0),"",IF(TEXTJOIN(", ",TRUE,IF(B29="","Название",""),IF(C29="","Тип недвижимости",""),IF(D29="","Страна",""),IF(E29="","Город",""),IF(F29="","Улица",""),IF(I29="","Валюта",""),IF(OR(AL29="",AL29&lt;1),"Хотя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земли",""),IF(OR(AQ29="",AQ29="Нет"),"Право собственности",""),IF(OR(AR29="",AR29="Нет"),"Справка об отсутствии обременений",""),IF(OR(X29="",X29&lt;=0),"Площадь участка проекта",""),IF(OR(Y29="",Y29&lt;=0),"Площадь строительства",""),IF(OR(Z29="",Z29&lt;0),"Стоимость участка",""),IF(OR(AA29="",AA29&lt;0),"Строительство",""),IF(OR(AB29="",AB29&lt;0),"Налоги и резерв",""),IF(OR(AC29="",AC29&lt;0),"Ожидаемая продажа",""),IF(OR(AD29="",AD29&lt;=0),"Капитал инвестора",""),IF(OR(AE29="",AE29&lt;=0,AE29&gt;600),"Срок в месяцах",""),IF(OR(AF29="",AF29&lt;0,AF29&gt;100),"Приоритетная доходность",""),IF(OR(AG29="",AG29&lt;0,AG29&gt;100),"Доля платформы",""),IF(AND(Z29&lt;&gt;"",AA29&lt;&gt;"",AB29&lt;&gt;"",AD29&lt;&gt;"",OR((Z29+AA29+AB29)&lt;=0,AD29&gt;(Z29+AA29+AB29))),"Капитал инвестора больше бюджета",""))="","",TEXTJOIN(", ",TRUE,IF(B29="","Название",""),IF(C29="","Тип недвижимости",""),IF(D29="","Страна",""),IF(E29="","Город",""),IF(F29="","Улица",""),IF(I29="","Валюта",""),IF(OR(AL29="",AL29&lt;1),"Хотя бы 1 фото",""),IF(AND(OR(C29="Квартира",C29="Апартаменты",C29="Дом",C29="Вилла",C29="Коммерческая"),J29=""),"Площадь",""),IF(AND(OR(C29="Квартира",C29="Апартаменты"),K29=""),"Жилая площадь",""),IF(AND(OR(C29="Дом",C29="Вилла",C29="Земля"),L29=""),"Площадь участка",""),IF(AND(OR(C29="Квартира",C29="Апартаменты"),M29=""),"Комнаты",""),IF(AND(OR(C29="Дом",C29="Вилла"),N29=""),"Спальни",""),IF(AND(OR(C29="Квартира",C29="Апартаменты",C29="Дом",C29="Вилла"),O29=""),"Ванные",""),IF(AND(OR(C29="Квартира",C29="Апартаменты"),P29=""),"Этаж",""),IF(AND(OR(OR(C29="Квартира",C29="Апартаменты"),OR(C29="Дом",C29="Вилла")),Q29=""),"Этажей",""),IF(AND(OR(OR(C29="Квартира",C29="Апартаменты"),OR(C29="Дом",C29="Вилла")),OR(R29="",R29&gt;YEAR(TODAY()))),"Год постройки",""),IF(AND(P29&lt;&gt;"",Q29&lt;&gt;"",P29&gt;Q29),"Этаж больше этажности",""),IF(AND(OR(C29="Квартира",C29="Апартаменты",C29="Дом",C29="Вилла"),S29=""),"Материал",""),IF(AND(OR(C29="Коммерческая"),U29=""),"Тип коммерции",""),IF(AND(OR(C29="Земля"),V29=""),"Назначение земли",""),IF(OR(AQ29="",AQ29="Нет"),"Право собственности",""),IF(OR(AR29="",AR29="Нет"),"Справка об отсутствии обременений",""),IF(OR(X29="",X29&lt;=0),"Площадь участка проекта",""),IF(OR(Y29="",Y29&lt;=0),"Площадь строительства",""),IF(OR(Z29="",Z29&lt;0),"Стоимость участка",""),IF(OR(AA29="",AA29&lt;0),"Строительство",""),IF(OR(AB29="",AB29&lt;0),"Налоги и резерв",""),IF(OR(AC29="",AC29&lt;0),"Ожидаемая продажа",""),IF(OR(AD29="",AD29&lt;=0),"Капитал инвестора",""),IF(OR(AE29="",AE29&lt;=0,AE29&gt;600),"Срок в месяцах",""),IF(OR(AF29="",AF29&lt;0,AF29&gt;100),"Приоритетная доходность",""),IF(OR(AG29="",AG29&lt;0,AG29&gt;100),"Доля платформы",""),IF(AND(Z29&lt;&gt;"",AA29&lt;&gt;"",AB29&lt;&gt;"",AD29&lt;&gt;"",OR((Z29+AA29+AB29)&lt;=0,AD29&gt;(Z29+AA29+AB29))),"Капитал инвестора больше бюджета",""))))</f>
        <v/>
      </c>
      <c r="AU29" s="35">
        <f>IF(NOT(COUNTA(A29:AS29)&gt;0),"",IF(TEXTJOIN(", ",TRUE,IF(AO29="","Описание",""),IF(AND(AL29&lt;&gt;"",AL29&gt;=1,AL29&lt;5),"Фото меньше 5",""),IF(AN29="","Видео",""),IF(H29="","Кадастровый номер",""),IF(AM29="","Ссылка на фото",""),IF(W29="","Цель продавца",""),IF(AJ29="","Лицензия",""),IF(AK29="","Допущения и источники",""))="","",TEXTJOIN(", ",TRUE,IF(AO29="","Описание",""),IF(AND(AL29&lt;&gt;"",AL29&gt;=1,AL29&lt;5),"Фото меньше 5",""),IF(AN29="","Видео",""),IF(H29="","Кадастровый номер",""),IF(AM29="","Ссылка на фото",""),IF(W29="","Цель продавца",""),IF(AJ29="","Лицензия",""),IF(AK29="","Допущения и источники",""))))</f>
        <v/>
      </c>
      <c r="AV29" s="35">
        <f>IF(NOT(COUNTA(A29:AS29)&gt;0),"",IF(AT29="","Можно публиковать","Не хватает"))</f>
        <v/>
      </c>
    </row>
    <row r="30" ht="22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7" t="n"/>
      <c r="K30" s="37" t="n"/>
      <c r="L30" s="37" t="n"/>
      <c r="M30" s="38" t="n"/>
      <c r="N30" s="38" t="n"/>
      <c r="O30" s="38" t="n"/>
      <c r="P30" s="38" t="n"/>
      <c r="Q30" s="38" t="n"/>
      <c r="R30" s="38" t="n"/>
      <c r="S30" s="36" t="n"/>
      <c r="T30" s="36" t="n"/>
      <c r="U30" s="36" t="n"/>
      <c r="V30" s="36" t="n"/>
      <c r="W30" s="36" t="n"/>
      <c r="X30" s="37" t="n"/>
      <c r="Y30" s="37" t="n"/>
      <c r="Z30" s="39" t="n"/>
      <c r="AA30" s="39" t="n"/>
      <c r="AB30" s="39" t="n"/>
      <c r="AC30" s="39" t="n"/>
      <c r="AD30" s="39" t="n"/>
      <c r="AE30" s="38" t="n"/>
      <c r="AF30" s="44" t="n"/>
      <c r="AG30" s="44" t="n"/>
      <c r="AH30" s="43">
        <f>IF(AND(Z30&lt;&gt;"",AA30&lt;&gt;"",AB30&lt;&gt;""),Z30+AA30+AB30,"")</f>
        <v/>
      </c>
      <c r="AI30" s="43">
        <f>IF(AND(AND(Z30&lt;&gt;"",AA30&lt;&gt;"",AB30&lt;&gt;""),AC30&lt;&gt;""),AC30-(Z30+AA30+AB30),"")</f>
        <v/>
      </c>
      <c r="AJ30" s="36" t="n"/>
      <c r="AK30" s="36" t="n"/>
      <c r="AL30" s="38" t="n"/>
      <c r="AM30" s="36" t="n"/>
      <c r="AN30" s="36" t="n"/>
      <c r="AO30" s="36" t="n"/>
      <c r="AP30" s="36" t="n"/>
      <c r="AQ30" s="36" t="n"/>
      <c r="AR30" s="36" t="n"/>
      <c r="AS30" s="36" t="n"/>
      <c r="AT30" s="35">
        <f>IF(NOT(COUNTA(A30:AS30)&gt;0),"",IF(TEXTJOIN(", ",TRUE,IF(B30="","Название",""),IF(C30="","Тип недвижимости",""),IF(D30="","Страна",""),IF(E30="","Город",""),IF(F30="","Улица",""),IF(I30="","Валюта",""),IF(OR(AL30="",AL30&lt;1),"Хотя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земли",""),IF(OR(AQ30="",AQ30="Нет"),"Право собственности",""),IF(OR(AR30="",AR30="Нет"),"Справка об отсутствии обременений",""),IF(OR(X30="",X30&lt;=0),"Площадь участка проекта",""),IF(OR(Y30="",Y30&lt;=0),"Площадь строительства",""),IF(OR(Z30="",Z30&lt;0),"Стоимость участка",""),IF(OR(AA30="",AA30&lt;0),"Строительство",""),IF(OR(AB30="",AB30&lt;0),"Налоги и резерв",""),IF(OR(AC30="",AC30&lt;0),"Ожидаемая продажа",""),IF(OR(AD30="",AD30&lt;=0),"Капитал инвестора",""),IF(OR(AE30="",AE30&lt;=0,AE30&gt;600),"Срок в месяцах",""),IF(OR(AF30="",AF30&lt;0,AF30&gt;100),"Приоритетная доходность",""),IF(OR(AG30="",AG30&lt;0,AG30&gt;100),"Доля платформы",""),IF(AND(Z30&lt;&gt;"",AA30&lt;&gt;"",AB30&lt;&gt;"",AD30&lt;&gt;"",OR((Z30+AA30+AB30)&lt;=0,AD30&gt;(Z30+AA30+AB30))),"Капитал инвестора больше бюджета",""))="","",TEXTJOIN(", ",TRUE,IF(B30="","Название",""),IF(C30="","Тип недвижимости",""),IF(D30="","Страна",""),IF(E30="","Город",""),IF(F30="","Улица",""),IF(I30="","Валюта",""),IF(OR(AL30="",AL30&lt;1),"Хотя бы 1 фото",""),IF(AND(OR(C30="Квартира",C30="Апартаменты",C30="Дом",C30="Вилла",C30="Коммерческая"),J30=""),"Площадь",""),IF(AND(OR(C30="Квартира",C30="Апартаменты"),K30=""),"Жилая площадь",""),IF(AND(OR(C30="Дом",C30="Вилла",C30="Земля"),L30=""),"Площадь участка",""),IF(AND(OR(C30="Квартира",C30="Апартаменты"),M30=""),"Комнаты",""),IF(AND(OR(C30="Дом",C30="Вилла"),N30=""),"Спальни",""),IF(AND(OR(C30="Квартира",C30="Апартаменты",C30="Дом",C30="Вилла"),O30=""),"Ванные",""),IF(AND(OR(C30="Квартира",C30="Апартаменты"),P30=""),"Этаж",""),IF(AND(OR(OR(C30="Квартира",C30="Апартаменты"),OR(C30="Дом",C30="Вилла")),Q30=""),"Этажей",""),IF(AND(OR(OR(C30="Квартира",C30="Апартаменты"),OR(C30="Дом",C30="Вилла")),OR(R30="",R30&gt;YEAR(TODAY()))),"Год постройки",""),IF(AND(P30&lt;&gt;"",Q30&lt;&gt;"",P30&gt;Q30),"Этаж больше этажности",""),IF(AND(OR(C30="Квартира",C30="Апартаменты",C30="Дом",C30="Вилла"),S30=""),"Материал",""),IF(AND(OR(C30="Коммерческая"),U30=""),"Тип коммерции",""),IF(AND(OR(C30="Земля"),V30=""),"Назначение земли",""),IF(OR(AQ30="",AQ30="Нет"),"Право собственности",""),IF(OR(AR30="",AR30="Нет"),"Справка об отсутствии обременений",""),IF(OR(X30="",X30&lt;=0),"Площадь участка проекта",""),IF(OR(Y30="",Y30&lt;=0),"Площадь строительства",""),IF(OR(Z30="",Z30&lt;0),"Стоимость участка",""),IF(OR(AA30="",AA30&lt;0),"Строительство",""),IF(OR(AB30="",AB30&lt;0),"Налоги и резерв",""),IF(OR(AC30="",AC30&lt;0),"Ожидаемая продажа",""),IF(OR(AD30="",AD30&lt;=0),"Капитал инвестора",""),IF(OR(AE30="",AE30&lt;=0,AE30&gt;600),"Срок в месяцах",""),IF(OR(AF30="",AF30&lt;0,AF30&gt;100),"Приоритетная доходность",""),IF(OR(AG30="",AG30&lt;0,AG30&gt;100),"Доля платформы",""),IF(AND(Z30&lt;&gt;"",AA30&lt;&gt;"",AB30&lt;&gt;"",AD30&lt;&gt;"",OR((Z30+AA30+AB30)&lt;=0,AD30&gt;(Z30+AA30+AB30))),"Капитал инвестора больше бюджета",""))))</f>
        <v/>
      </c>
      <c r="AU30" s="35">
        <f>IF(NOT(COUNTA(A30:AS30)&gt;0),"",IF(TEXTJOIN(", ",TRUE,IF(AO30="","Описание",""),IF(AND(AL30&lt;&gt;"",AL30&gt;=1,AL30&lt;5),"Фото меньше 5",""),IF(AN30="","Видео",""),IF(H30="","Кадастровый номер",""),IF(AM30="","Ссылка на фото",""),IF(W30="","Цель продавца",""),IF(AJ30="","Лицензия",""),IF(AK30="","Допущения и источники",""))="","",TEXTJOIN(", ",TRUE,IF(AO30="","Описание",""),IF(AND(AL30&lt;&gt;"",AL30&gt;=1,AL30&lt;5),"Фото меньше 5",""),IF(AN30="","Видео",""),IF(H30="","Кадастровый номер",""),IF(AM30="","Ссылка на фото",""),IF(W30="","Цель продавца",""),IF(AJ30="","Лицензия",""),IF(AK30="","Допущения и источники",""))))</f>
        <v/>
      </c>
      <c r="AV30" s="35">
        <f>IF(NOT(COUNTA(A30:AS30)&gt;0),"",IF(AT30="","Можно публиковать","Не хватает"))</f>
        <v/>
      </c>
    </row>
    <row r="31" ht="22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 t="n"/>
      <c r="K31" s="31" t="n"/>
      <c r="L31" s="31" t="n"/>
      <c r="M31" s="32" t="n"/>
      <c r="N31" s="32" t="n"/>
      <c r="O31" s="32" t="n"/>
      <c r="P31" s="32" t="n"/>
      <c r="Q31" s="32" t="n"/>
      <c r="R31" s="32" t="n"/>
      <c r="S31" s="30" t="n"/>
      <c r="T31" s="30" t="n"/>
      <c r="U31" s="30" t="n"/>
      <c r="V31" s="30" t="n"/>
      <c r="W31" s="30" t="n"/>
      <c r="X31" s="31" t="n"/>
      <c r="Y31" s="31" t="n"/>
      <c r="Z31" s="33" t="n"/>
      <c r="AA31" s="33" t="n"/>
      <c r="AB31" s="33" t="n"/>
      <c r="AC31" s="33" t="n"/>
      <c r="AD31" s="33" t="n"/>
      <c r="AE31" s="32" t="n"/>
      <c r="AF31" s="42" t="n"/>
      <c r="AG31" s="42" t="n"/>
      <c r="AH31" s="43">
        <f>IF(AND(Z31&lt;&gt;"",AA31&lt;&gt;"",AB31&lt;&gt;""),Z31+AA31+AB31,"")</f>
        <v/>
      </c>
      <c r="AI31" s="43">
        <f>IF(AND(AND(Z31&lt;&gt;"",AA31&lt;&gt;"",AB31&lt;&gt;""),AC31&lt;&gt;""),AC31-(Z31+AA31+AB31),"")</f>
        <v/>
      </c>
      <c r="AJ31" s="30" t="n"/>
      <c r="AK31" s="30" t="n"/>
      <c r="AL31" s="32" t="n"/>
      <c r="AM31" s="30" t="n"/>
      <c r="AN31" s="30" t="n"/>
      <c r="AO31" s="30" t="n"/>
      <c r="AP31" s="30" t="n"/>
      <c r="AQ31" s="30" t="n"/>
      <c r="AR31" s="30" t="n"/>
      <c r="AS31" s="30" t="n"/>
      <c r="AT31" s="35">
        <f>IF(NOT(COUNTA(A31:AS31)&gt;0),"",IF(TEXTJOIN(", ",TRUE,IF(B31="","Название",""),IF(C31="","Тип недвижимости",""),IF(D31="","Страна",""),IF(E31="","Город",""),IF(F31="","Улица",""),IF(I31="","Валюта",""),IF(OR(AL31="",AL31&lt;1),"Хотя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земли",""),IF(OR(AQ31="",AQ31="Нет"),"Право собственности",""),IF(OR(AR31="",AR31="Нет"),"Справка об отсутствии обременений",""),IF(OR(X31="",X31&lt;=0),"Площадь участка проекта",""),IF(OR(Y31="",Y31&lt;=0),"Площадь строительства",""),IF(OR(Z31="",Z31&lt;0),"Стоимость участка",""),IF(OR(AA31="",AA31&lt;0),"Строительство",""),IF(OR(AB31="",AB31&lt;0),"Налоги и резерв",""),IF(OR(AC31="",AC31&lt;0),"Ожидаемая продажа",""),IF(OR(AD31="",AD31&lt;=0),"Капитал инвестора",""),IF(OR(AE31="",AE31&lt;=0,AE31&gt;600),"Срок в месяцах",""),IF(OR(AF31="",AF31&lt;0,AF31&gt;100),"Приоритетная доходность",""),IF(OR(AG31="",AG31&lt;0,AG31&gt;100),"Доля платформы",""),IF(AND(Z31&lt;&gt;"",AA31&lt;&gt;"",AB31&lt;&gt;"",AD31&lt;&gt;"",OR((Z31+AA31+AB31)&lt;=0,AD31&gt;(Z31+AA31+AB31))),"Капитал инвестора больше бюджета",""))="","",TEXTJOIN(", ",TRUE,IF(B31="","Название",""),IF(C31="","Тип недвижимости",""),IF(D31="","Страна",""),IF(E31="","Город",""),IF(F31="","Улица",""),IF(I31="","Валюта",""),IF(OR(AL31="",AL31&lt;1),"Хотя бы 1 фото",""),IF(AND(OR(C31="Квартира",C31="Апартаменты",C31="Дом",C31="Вилла",C31="Коммерческая"),J31=""),"Площадь",""),IF(AND(OR(C31="Квартира",C31="Апартаменты"),K31=""),"Жилая площадь",""),IF(AND(OR(C31="Дом",C31="Вилла",C31="Земля"),L31=""),"Площадь участка",""),IF(AND(OR(C31="Квартира",C31="Апартаменты"),M31=""),"Комнаты",""),IF(AND(OR(C31="Дом",C31="Вилла"),N31=""),"Спальни",""),IF(AND(OR(C31="Квартира",C31="Апартаменты",C31="Дом",C31="Вилла"),O31=""),"Ванные",""),IF(AND(OR(C31="Квартира",C31="Апартаменты"),P31=""),"Этаж",""),IF(AND(OR(OR(C31="Квартира",C31="Апартаменты"),OR(C31="Дом",C31="Вилла")),Q31=""),"Этажей",""),IF(AND(OR(OR(C31="Квартира",C31="Апартаменты"),OR(C31="Дом",C31="Вилла")),OR(R31="",R31&gt;YEAR(TODAY()))),"Год постройки",""),IF(AND(P31&lt;&gt;"",Q31&lt;&gt;"",P31&gt;Q31),"Этаж больше этажности",""),IF(AND(OR(C31="Квартира",C31="Апартаменты",C31="Дом",C31="Вилла"),S31=""),"Материал",""),IF(AND(OR(C31="Коммерческая"),U31=""),"Тип коммерции",""),IF(AND(OR(C31="Земля"),V31=""),"Назначение земли",""),IF(OR(AQ31="",AQ31="Нет"),"Право собственности",""),IF(OR(AR31="",AR31="Нет"),"Справка об отсутствии обременений",""),IF(OR(X31="",X31&lt;=0),"Площадь участка проекта",""),IF(OR(Y31="",Y31&lt;=0),"Площадь строительства",""),IF(OR(Z31="",Z31&lt;0),"Стоимость участка",""),IF(OR(AA31="",AA31&lt;0),"Строительство",""),IF(OR(AB31="",AB31&lt;0),"Налоги и резерв",""),IF(OR(AC31="",AC31&lt;0),"Ожидаемая продажа",""),IF(OR(AD31="",AD31&lt;=0),"Капитал инвестора",""),IF(OR(AE31="",AE31&lt;=0,AE31&gt;600),"Срок в месяцах",""),IF(OR(AF31="",AF31&lt;0,AF31&gt;100),"Приоритетная доходность",""),IF(OR(AG31="",AG31&lt;0,AG31&gt;100),"Доля платформы",""),IF(AND(Z31&lt;&gt;"",AA31&lt;&gt;"",AB31&lt;&gt;"",AD31&lt;&gt;"",OR((Z31+AA31+AB31)&lt;=0,AD31&gt;(Z31+AA31+AB31))),"Капитал инвестора больше бюджета",""))))</f>
        <v/>
      </c>
      <c r="AU31" s="35">
        <f>IF(NOT(COUNTA(A31:AS31)&gt;0),"",IF(TEXTJOIN(", ",TRUE,IF(AO31="","Описание",""),IF(AND(AL31&lt;&gt;"",AL31&gt;=1,AL31&lt;5),"Фото меньше 5",""),IF(AN31="","Видео",""),IF(H31="","Кадастровый номер",""),IF(AM31="","Ссылка на фото",""),IF(W31="","Цель продавца",""),IF(AJ31="","Лицензия",""),IF(AK31="","Допущения и источники",""))="","",TEXTJOIN(", ",TRUE,IF(AO31="","Описание",""),IF(AND(AL31&lt;&gt;"",AL31&gt;=1,AL31&lt;5),"Фото меньше 5",""),IF(AN31="","Видео",""),IF(H31="","Кадастровый номер",""),IF(AM31="","Ссылка на фото",""),IF(W31="","Цель продавца",""),IF(AJ31="","Лицензия",""),IF(AK31="","Допущения и источники",""))))</f>
        <v/>
      </c>
      <c r="AV31" s="35">
        <f>IF(NOT(COUNTA(A31:AS31)&gt;0),"",IF(AT31="","Можно публиковать","Не хватает"))</f>
        <v/>
      </c>
    </row>
    <row r="32" ht="22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37" t="n"/>
      <c r="M32" s="38" t="n"/>
      <c r="N32" s="38" t="n"/>
      <c r="O32" s="38" t="n"/>
      <c r="P32" s="38" t="n"/>
      <c r="Q32" s="38" t="n"/>
      <c r="R32" s="38" t="n"/>
      <c r="S32" s="36" t="n"/>
      <c r="T32" s="36" t="n"/>
      <c r="U32" s="36" t="n"/>
      <c r="V32" s="36" t="n"/>
      <c r="W32" s="36" t="n"/>
      <c r="X32" s="37" t="n"/>
      <c r="Y32" s="37" t="n"/>
      <c r="Z32" s="39" t="n"/>
      <c r="AA32" s="39" t="n"/>
      <c r="AB32" s="39" t="n"/>
      <c r="AC32" s="39" t="n"/>
      <c r="AD32" s="39" t="n"/>
      <c r="AE32" s="38" t="n"/>
      <c r="AF32" s="44" t="n"/>
      <c r="AG32" s="44" t="n"/>
      <c r="AH32" s="43">
        <f>IF(AND(Z32&lt;&gt;"",AA32&lt;&gt;"",AB32&lt;&gt;""),Z32+AA32+AB32,"")</f>
        <v/>
      </c>
      <c r="AI32" s="43">
        <f>IF(AND(AND(Z32&lt;&gt;"",AA32&lt;&gt;"",AB32&lt;&gt;""),AC32&lt;&gt;""),AC32-(Z32+AA32+AB32),"")</f>
        <v/>
      </c>
      <c r="AJ32" s="36" t="n"/>
      <c r="AK32" s="36" t="n"/>
      <c r="AL32" s="38" t="n"/>
      <c r="AM32" s="36" t="n"/>
      <c r="AN32" s="36" t="n"/>
      <c r="AO32" s="36" t="n"/>
      <c r="AP32" s="36" t="n"/>
      <c r="AQ32" s="36" t="n"/>
      <c r="AR32" s="36" t="n"/>
      <c r="AS32" s="36" t="n"/>
      <c r="AT32" s="35">
        <f>IF(NOT(COUNTA(A32:AS32)&gt;0),"",IF(TEXTJOIN(", ",TRUE,IF(B32="","Название",""),IF(C32="","Тип недвижимости",""),IF(D32="","Страна",""),IF(E32="","Город",""),IF(F32="","Улица",""),IF(I32="","Валюта",""),IF(OR(AL32="",AL32&lt;1),"Хотя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земли",""),IF(OR(AQ32="",AQ32="Нет"),"Право собственности",""),IF(OR(AR32="",AR32="Нет"),"Справка об отсутствии обременений",""),IF(OR(X32="",X32&lt;=0),"Площадь участка проекта",""),IF(OR(Y32="",Y32&lt;=0),"Площадь строительства",""),IF(OR(Z32="",Z32&lt;0),"Стоимость участка",""),IF(OR(AA32="",AA32&lt;0),"Строительство",""),IF(OR(AB32="",AB32&lt;0),"Налоги и резерв",""),IF(OR(AC32="",AC32&lt;0),"Ожидаемая продажа",""),IF(OR(AD32="",AD32&lt;=0),"Капитал инвестора",""),IF(OR(AE32="",AE32&lt;=0,AE32&gt;600),"Срок в месяцах",""),IF(OR(AF32="",AF32&lt;0,AF32&gt;100),"Приоритетная доходность",""),IF(OR(AG32="",AG32&lt;0,AG32&gt;100),"Доля платформы",""),IF(AND(Z32&lt;&gt;"",AA32&lt;&gt;"",AB32&lt;&gt;"",AD32&lt;&gt;"",OR((Z32+AA32+AB32)&lt;=0,AD32&gt;(Z32+AA32+AB32))),"Капитал инвестора больше бюджета",""))="","",TEXTJOIN(", ",TRUE,IF(B32="","Название",""),IF(C32="","Тип недвижимости",""),IF(D32="","Страна",""),IF(E32="","Город",""),IF(F32="","Улица",""),IF(I32="","Валюта",""),IF(OR(AL32="",AL32&lt;1),"Хотя бы 1 фото",""),IF(AND(OR(C32="Квартира",C32="Апартаменты",C32="Дом",C32="Вилла",C32="Коммерческая"),J32=""),"Площадь",""),IF(AND(OR(C32="Квартира",C32="Апартаменты"),K32=""),"Жилая площадь",""),IF(AND(OR(C32="Дом",C32="Вилла",C32="Земля"),L32=""),"Площадь участка",""),IF(AND(OR(C32="Квартира",C32="Апартаменты"),M32=""),"Комнаты",""),IF(AND(OR(C32="Дом",C32="Вилла"),N32=""),"Спальни",""),IF(AND(OR(C32="Квартира",C32="Апартаменты",C32="Дом",C32="Вилла"),O32=""),"Ванные",""),IF(AND(OR(C32="Квартира",C32="Апартаменты"),P32=""),"Этаж",""),IF(AND(OR(OR(C32="Квартира",C32="Апартаменты"),OR(C32="Дом",C32="Вилла")),Q32=""),"Этажей",""),IF(AND(OR(OR(C32="Квартира",C32="Апартаменты"),OR(C32="Дом",C32="Вилла")),OR(R32="",R32&gt;YEAR(TODAY()))),"Год постройки",""),IF(AND(P32&lt;&gt;"",Q32&lt;&gt;"",P32&gt;Q32),"Этаж больше этажности",""),IF(AND(OR(C32="Квартира",C32="Апартаменты",C32="Дом",C32="Вилла"),S32=""),"Материал",""),IF(AND(OR(C32="Коммерческая"),U32=""),"Тип коммерции",""),IF(AND(OR(C32="Земля"),V32=""),"Назначение земли",""),IF(OR(AQ32="",AQ32="Нет"),"Право собственности",""),IF(OR(AR32="",AR32="Нет"),"Справка об отсутствии обременений",""),IF(OR(X32="",X32&lt;=0),"Площадь участка проекта",""),IF(OR(Y32="",Y32&lt;=0),"Площадь строительства",""),IF(OR(Z32="",Z32&lt;0),"Стоимость участка",""),IF(OR(AA32="",AA32&lt;0),"Строительство",""),IF(OR(AB32="",AB32&lt;0),"Налоги и резерв",""),IF(OR(AC32="",AC32&lt;0),"Ожидаемая продажа",""),IF(OR(AD32="",AD32&lt;=0),"Капитал инвестора",""),IF(OR(AE32="",AE32&lt;=0,AE32&gt;600),"Срок в месяцах",""),IF(OR(AF32="",AF32&lt;0,AF32&gt;100),"Приоритетная доходность",""),IF(OR(AG32="",AG32&lt;0,AG32&gt;100),"Доля платформы",""),IF(AND(Z32&lt;&gt;"",AA32&lt;&gt;"",AB32&lt;&gt;"",AD32&lt;&gt;"",OR((Z32+AA32+AB32)&lt;=0,AD32&gt;(Z32+AA32+AB32))),"Капитал инвестора больше бюджета",""))))</f>
        <v/>
      </c>
      <c r="AU32" s="35">
        <f>IF(NOT(COUNTA(A32:AS32)&gt;0),"",IF(TEXTJOIN(", ",TRUE,IF(AO32="","Описание",""),IF(AND(AL32&lt;&gt;"",AL32&gt;=1,AL32&lt;5),"Фото меньше 5",""),IF(AN32="","Видео",""),IF(H32="","Кадастровый номер",""),IF(AM32="","Ссылка на фото",""),IF(W32="","Цель продавца",""),IF(AJ32="","Лицензия",""),IF(AK32="","Допущения и источники",""))="","",TEXTJOIN(", ",TRUE,IF(AO32="","Описание",""),IF(AND(AL32&lt;&gt;"",AL32&gt;=1,AL32&lt;5),"Фото меньше 5",""),IF(AN32="","Видео",""),IF(H32="","Кадастровый номер",""),IF(AM32="","Ссылка на фото",""),IF(W32="","Цель продавца",""),IF(AJ32="","Лицензия",""),IF(AK32="","Допущения и источники",""))))</f>
        <v/>
      </c>
      <c r="AV32" s="35">
        <f>IF(NOT(COUNTA(A32:AS32)&gt;0),"",IF(AT32="","Можно публиковать","Не хватает"))</f>
        <v/>
      </c>
    </row>
    <row r="33" ht="22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  <c r="K33" s="31" t="n"/>
      <c r="L33" s="31" t="n"/>
      <c r="M33" s="32" t="n"/>
      <c r="N33" s="32" t="n"/>
      <c r="O33" s="32" t="n"/>
      <c r="P33" s="32" t="n"/>
      <c r="Q33" s="32" t="n"/>
      <c r="R33" s="32" t="n"/>
      <c r="S33" s="30" t="n"/>
      <c r="T33" s="30" t="n"/>
      <c r="U33" s="30" t="n"/>
      <c r="V33" s="30" t="n"/>
      <c r="W33" s="30" t="n"/>
      <c r="X33" s="31" t="n"/>
      <c r="Y33" s="31" t="n"/>
      <c r="Z33" s="33" t="n"/>
      <c r="AA33" s="33" t="n"/>
      <c r="AB33" s="33" t="n"/>
      <c r="AC33" s="33" t="n"/>
      <c r="AD33" s="33" t="n"/>
      <c r="AE33" s="32" t="n"/>
      <c r="AF33" s="42" t="n"/>
      <c r="AG33" s="42" t="n"/>
      <c r="AH33" s="43">
        <f>IF(AND(Z33&lt;&gt;"",AA33&lt;&gt;"",AB33&lt;&gt;""),Z33+AA33+AB33,"")</f>
        <v/>
      </c>
      <c r="AI33" s="43">
        <f>IF(AND(AND(Z33&lt;&gt;"",AA33&lt;&gt;"",AB33&lt;&gt;""),AC33&lt;&gt;""),AC33-(Z33+AA33+AB33),"")</f>
        <v/>
      </c>
      <c r="AJ33" s="30" t="n"/>
      <c r="AK33" s="30" t="n"/>
      <c r="AL33" s="32" t="n"/>
      <c r="AM33" s="30" t="n"/>
      <c r="AN33" s="30" t="n"/>
      <c r="AO33" s="30" t="n"/>
      <c r="AP33" s="30" t="n"/>
      <c r="AQ33" s="30" t="n"/>
      <c r="AR33" s="30" t="n"/>
      <c r="AS33" s="30" t="n"/>
      <c r="AT33" s="35">
        <f>IF(NOT(COUNTA(A33:AS33)&gt;0),"",IF(TEXTJOIN(", ",TRUE,IF(B33="","Название",""),IF(C33="","Тип недвижимости",""),IF(D33="","Страна",""),IF(E33="","Город",""),IF(F33="","Улица",""),IF(I33="","Валюта",""),IF(OR(AL33="",AL33&lt;1),"Хотя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земли",""),IF(OR(AQ33="",AQ33="Нет"),"Право собственности",""),IF(OR(AR33="",AR33="Нет"),"Справка об отсутствии обременений",""),IF(OR(X33="",X33&lt;=0),"Площадь участка проекта",""),IF(OR(Y33="",Y33&lt;=0),"Площадь строительства",""),IF(OR(Z33="",Z33&lt;0),"Стоимость участка",""),IF(OR(AA33="",AA33&lt;0),"Строительство",""),IF(OR(AB33="",AB33&lt;0),"Налоги и резерв",""),IF(OR(AC33="",AC33&lt;0),"Ожидаемая продажа",""),IF(OR(AD33="",AD33&lt;=0),"Капитал инвестора",""),IF(OR(AE33="",AE33&lt;=0,AE33&gt;600),"Срок в месяцах",""),IF(OR(AF33="",AF33&lt;0,AF33&gt;100),"Приоритетная доходность",""),IF(OR(AG33="",AG33&lt;0,AG33&gt;100),"Доля платформы",""),IF(AND(Z33&lt;&gt;"",AA33&lt;&gt;"",AB33&lt;&gt;"",AD33&lt;&gt;"",OR((Z33+AA33+AB33)&lt;=0,AD33&gt;(Z33+AA33+AB33))),"Капитал инвестора больше бюджета",""))="","",TEXTJOIN(", ",TRUE,IF(B33="","Название",""),IF(C33="","Тип недвижимости",""),IF(D33="","Страна",""),IF(E33="","Город",""),IF(F33="","Улица",""),IF(I33="","Валюта",""),IF(OR(AL33="",AL33&lt;1),"Хотя бы 1 фото",""),IF(AND(OR(C33="Квартира",C33="Апартаменты",C33="Дом",C33="Вилла",C33="Коммерческая"),J33=""),"Площадь",""),IF(AND(OR(C33="Квартира",C33="Апартаменты"),K33=""),"Жилая площадь",""),IF(AND(OR(C33="Дом",C33="Вилла",C33="Земля"),L33=""),"Площадь участка",""),IF(AND(OR(C33="Квартира",C33="Апартаменты"),M33=""),"Комнаты",""),IF(AND(OR(C33="Дом",C33="Вилла"),N33=""),"Спальни",""),IF(AND(OR(C33="Квартира",C33="Апартаменты",C33="Дом",C33="Вилла"),O33=""),"Ванные",""),IF(AND(OR(C33="Квартира",C33="Апартаменты"),P33=""),"Этаж",""),IF(AND(OR(OR(C33="Квартира",C33="Апартаменты"),OR(C33="Дом",C33="Вилла")),Q33=""),"Этажей",""),IF(AND(OR(OR(C33="Квартира",C33="Апартаменты"),OR(C33="Дом",C33="Вилла")),OR(R33="",R33&gt;YEAR(TODAY()))),"Год постройки",""),IF(AND(P33&lt;&gt;"",Q33&lt;&gt;"",P33&gt;Q33),"Этаж больше этажности",""),IF(AND(OR(C33="Квартира",C33="Апартаменты",C33="Дом",C33="Вилла"),S33=""),"Материал",""),IF(AND(OR(C33="Коммерческая"),U33=""),"Тип коммерции",""),IF(AND(OR(C33="Земля"),V33=""),"Назначение земли",""),IF(OR(AQ33="",AQ33="Нет"),"Право собственности",""),IF(OR(AR33="",AR33="Нет"),"Справка об отсутствии обременений",""),IF(OR(X33="",X33&lt;=0),"Площадь участка проекта",""),IF(OR(Y33="",Y33&lt;=0),"Площадь строительства",""),IF(OR(Z33="",Z33&lt;0),"Стоимость участка",""),IF(OR(AA33="",AA33&lt;0),"Строительство",""),IF(OR(AB33="",AB33&lt;0),"Налоги и резерв",""),IF(OR(AC33="",AC33&lt;0),"Ожидаемая продажа",""),IF(OR(AD33="",AD33&lt;=0),"Капитал инвестора",""),IF(OR(AE33="",AE33&lt;=0,AE33&gt;600),"Срок в месяцах",""),IF(OR(AF33="",AF33&lt;0,AF33&gt;100),"Приоритетная доходность",""),IF(OR(AG33="",AG33&lt;0,AG33&gt;100),"Доля платформы",""),IF(AND(Z33&lt;&gt;"",AA33&lt;&gt;"",AB33&lt;&gt;"",AD33&lt;&gt;"",OR((Z33+AA33+AB33)&lt;=0,AD33&gt;(Z33+AA33+AB33))),"Капитал инвестора больше бюджета",""))))</f>
        <v/>
      </c>
      <c r="AU33" s="35">
        <f>IF(NOT(COUNTA(A33:AS33)&gt;0),"",IF(TEXTJOIN(", ",TRUE,IF(AO33="","Описание",""),IF(AND(AL33&lt;&gt;"",AL33&gt;=1,AL33&lt;5),"Фото меньше 5",""),IF(AN33="","Видео",""),IF(H33="","Кадастровый номер",""),IF(AM33="","Ссылка на фото",""),IF(W33="","Цель продавца",""),IF(AJ33="","Лицензия",""),IF(AK33="","Допущения и источники",""))="","",TEXTJOIN(", ",TRUE,IF(AO33="","Описание",""),IF(AND(AL33&lt;&gt;"",AL33&gt;=1,AL33&lt;5),"Фото меньше 5",""),IF(AN33="","Видео",""),IF(H33="","Кадастровый номер",""),IF(AM33="","Ссылка на фото",""),IF(W33="","Цель продавца",""),IF(AJ33="","Лицензия",""),IF(AK33="","Допущения и источники",""))))</f>
        <v/>
      </c>
      <c r="AV33" s="35">
        <f>IF(NOT(COUNTA(A33:AS33)&gt;0),"",IF(AT33="","Можно публиковать","Не хватает"))</f>
        <v/>
      </c>
    </row>
    <row r="34" ht="22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7" t="n"/>
      <c r="K34" s="37" t="n"/>
      <c r="L34" s="37" t="n"/>
      <c r="M34" s="38" t="n"/>
      <c r="N34" s="38" t="n"/>
      <c r="O34" s="38" t="n"/>
      <c r="P34" s="38" t="n"/>
      <c r="Q34" s="38" t="n"/>
      <c r="R34" s="38" t="n"/>
      <c r="S34" s="36" t="n"/>
      <c r="T34" s="36" t="n"/>
      <c r="U34" s="36" t="n"/>
      <c r="V34" s="36" t="n"/>
      <c r="W34" s="36" t="n"/>
      <c r="X34" s="37" t="n"/>
      <c r="Y34" s="37" t="n"/>
      <c r="Z34" s="39" t="n"/>
      <c r="AA34" s="39" t="n"/>
      <c r="AB34" s="39" t="n"/>
      <c r="AC34" s="39" t="n"/>
      <c r="AD34" s="39" t="n"/>
      <c r="AE34" s="38" t="n"/>
      <c r="AF34" s="44" t="n"/>
      <c r="AG34" s="44" t="n"/>
      <c r="AH34" s="43">
        <f>IF(AND(Z34&lt;&gt;"",AA34&lt;&gt;"",AB34&lt;&gt;""),Z34+AA34+AB34,"")</f>
        <v/>
      </c>
      <c r="AI34" s="43">
        <f>IF(AND(AND(Z34&lt;&gt;"",AA34&lt;&gt;"",AB34&lt;&gt;""),AC34&lt;&gt;""),AC34-(Z34+AA34+AB34),"")</f>
        <v/>
      </c>
      <c r="AJ34" s="36" t="n"/>
      <c r="AK34" s="36" t="n"/>
      <c r="AL34" s="38" t="n"/>
      <c r="AM34" s="36" t="n"/>
      <c r="AN34" s="36" t="n"/>
      <c r="AO34" s="36" t="n"/>
      <c r="AP34" s="36" t="n"/>
      <c r="AQ34" s="36" t="n"/>
      <c r="AR34" s="36" t="n"/>
      <c r="AS34" s="36" t="n"/>
      <c r="AT34" s="35">
        <f>IF(NOT(COUNTA(A34:AS34)&gt;0),"",IF(TEXTJOIN(", ",TRUE,IF(B34="","Название",""),IF(C34="","Тип недвижимости",""),IF(D34="","Страна",""),IF(E34="","Город",""),IF(F34="","Улица",""),IF(I34="","Валюта",""),IF(OR(AL34="",AL34&lt;1),"Хотя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земли",""),IF(OR(AQ34="",AQ34="Нет"),"Право собственности",""),IF(OR(AR34="",AR34="Нет"),"Справка об отсутствии обременений",""),IF(OR(X34="",X34&lt;=0),"Площадь участка проекта",""),IF(OR(Y34="",Y34&lt;=0),"Площадь строительства",""),IF(OR(Z34="",Z34&lt;0),"Стоимость участка",""),IF(OR(AA34="",AA34&lt;0),"Строительство",""),IF(OR(AB34="",AB34&lt;0),"Налоги и резерв",""),IF(OR(AC34="",AC34&lt;0),"Ожидаемая продажа",""),IF(OR(AD34="",AD34&lt;=0),"Капитал инвестора",""),IF(OR(AE34="",AE34&lt;=0,AE34&gt;600),"Срок в месяцах",""),IF(OR(AF34="",AF34&lt;0,AF34&gt;100),"Приоритетная доходность",""),IF(OR(AG34="",AG34&lt;0,AG34&gt;100),"Доля платформы",""),IF(AND(Z34&lt;&gt;"",AA34&lt;&gt;"",AB34&lt;&gt;"",AD34&lt;&gt;"",OR((Z34+AA34+AB34)&lt;=0,AD34&gt;(Z34+AA34+AB34))),"Капитал инвестора больше бюджета",""))="","",TEXTJOIN(", ",TRUE,IF(B34="","Название",""),IF(C34="","Тип недвижимости",""),IF(D34="","Страна",""),IF(E34="","Город",""),IF(F34="","Улица",""),IF(I34="","Валюта",""),IF(OR(AL34="",AL34&lt;1),"Хотя бы 1 фото",""),IF(AND(OR(C34="Квартира",C34="Апартаменты",C34="Дом",C34="Вилла",C34="Коммерческая"),J34=""),"Площадь",""),IF(AND(OR(C34="Квартира",C34="Апартаменты"),K34=""),"Жилая площадь",""),IF(AND(OR(C34="Дом",C34="Вилла",C34="Земля"),L34=""),"Площадь участка",""),IF(AND(OR(C34="Квартира",C34="Апартаменты"),M34=""),"Комнаты",""),IF(AND(OR(C34="Дом",C34="Вилла"),N34=""),"Спальни",""),IF(AND(OR(C34="Квартира",C34="Апартаменты",C34="Дом",C34="Вилла"),O34=""),"Ванные",""),IF(AND(OR(C34="Квартира",C34="Апартаменты"),P34=""),"Этаж",""),IF(AND(OR(OR(C34="Квартира",C34="Апартаменты"),OR(C34="Дом",C34="Вилла")),Q34=""),"Этажей",""),IF(AND(OR(OR(C34="Квартира",C34="Апартаменты"),OR(C34="Дом",C34="Вилла")),OR(R34="",R34&gt;YEAR(TODAY()))),"Год постройки",""),IF(AND(P34&lt;&gt;"",Q34&lt;&gt;"",P34&gt;Q34),"Этаж больше этажности",""),IF(AND(OR(C34="Квартира",C34="Апартаменты",C34="Дом",C34="Вилла"),S34=""),"Материал",""),IF(AND(OR(C34="Коммерческая"),U34=""),"Тип коммерции",""),IF(AND(OR(C34="Земля"),V34=""),"Назначение земли",""),IF(OR(AQ34="",AQ34="Нет"),"Право собственности",""),IF(OR(AR34="",AR34="Нет"),"Справка об отсутствии обременений",""),IF(OR(X34="",X34&lt;=0),"Площадь участка проекта",""),IF(OR(Y34="",Y34&lt;=0),"Площадь строительства",""),IF(OR(Z34="",Z34&lt;0),"Стоимость участка",""),IF(OR(AA34="",AA34&lt;0),"Строительство",""),IF(OR(AB34="",AB34&lt;0),"Налоги и резерв",""),IF(OR(AC34="",AC34&lt;0),"Ожидаемая продажа",""),IF(OR(AD34="",AD34&lt;=0),"Капитал инвестора",""),IF(OR(AE34="",AE34&lt;=0,AE34&gt;600),"Срок в месяцах",""),IF(OR(AF34="",AF34&lt;0,AF34&gt;100),"Приоритетная доходность",""),IF(OR(AG34="",AG34&lt;0,AG34&gt;100),"Доля платформы",""),IF(AND(Z34&lt;&gt;"",AA34&lt;&gt;"",AB34&lt;&gt;"",AD34&lt;&gt;"",OR((Z34+AA34+AB34)&lt;=0,AD34&gt;(Z34+AA34+AB34))),"Капитал инвестора больше бюджета",""))))</f>
        <v/>
      </c>
      <c r="AU34" s="35">
        <f>IF(NOT(COUNTA(A34:AS34)&gt;0),"",IF(TEXTJOIN(", ",TRUE,IF(AO34="","Описание",""),IF(AND(AL34&lt;&gt;"",AL34&gt;=1,AL34&lt;5),"Фото меньше 5",""),IF(AN34="","Видео",""),IF(H34="","Кадастровый номер",""),IF(AM34="","Ссылка на фото",""),IF(W34="","Цель продавца",""),IF(AJ34="","Лицензия",""),IF(AK34="","Допущения и источники",""))="","",TEXTJOIN(", ",TRUE,IF(AO34="","Описание",""),IF(AND(AL34&lt;&gt;"",AL34&gt;=1,AL34&lt;5),"Фото меньше 5",""),IF(AN34="","Видео",""),IF(H34="","Кадастровый номер",""),IF(AM34="","Ссылка на фото",""),IF(W34="","Цель продавца",""),IF(AJ34="","Лицензия",""),IF(AK34="","Допущения и источники",""))))</f>
        <v/>
      </c>
      <c r="AV34" s="35">
        <f>IF(NOT(COUNTA(A34:AS34)&gt;0),"",IF(AT34="","Можно публиковать","Не хватает"))</f>
        <v/>
      </c>
    </row>
    <row r="35" ht="22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 t="n"/>
      <c r="K35" s="31" t="n"/>
      <c r="L35" s="31" t="n"/>
      <c r="M35" s="32" t="n"/>
      <c r="N35" s="32" t="n"/>
      <c r="O35" s="32" t="n"/>
      <c r="P35" s="32" t="n"/>
      <c r="Q35" s="32" t="n"/>
      <c r="R35" s="32" t="n"/>
      <c r="S35" s="30" t="n"/>
      <c r="T35" s="30" t="n"/>
      <c r="U35" s="30" t="n"/>
      <c r="V35" s="30" t="n"/>
      <c r="W35" s="30" t="n"/>
      <c r="X35" s="31" t="n"/>
      <c r="Y35" s="31" t="n"/>
      <c r="Z35" s="33" t="n"/>
      <c r="AA35" s="33" t="n"/>
      <c r="AB35" s="33" t="n"/>
      <c r="AC35" s="33" t="n"/>
      <c r="AD35" s="33" t="n"/>
      <c r="AE35" s="32" t="n"/>
      <c r="AF35" s="42" t="n"/>
      <c r="AG35" s="42" t="n"/>
      <c r="AH35" s="43">
        <f>IF(AND(Z35&lt;&gt;"",AA35&lt;&gt;"",AB35&lt;&gt;""),Z35+AA35+AB35,"")</f>
        <v/>
      </c>
      <c r="AI35" s="43">
        <f>IF(AND(AND(Z35&lt;&gt;"",AA35&lt;&gt;"",AB35&lt;&gt;""),AC35&lt;&gt;""),AC35-(Z35+AA35+AB35),"")</f>
        <v/>
      </c>
      <c r="AJ35" s="30" t="n"/>
      <c r="AK35" s="30" t="n"/>
      <c r="AL35" s="32" t="n"/>
      <c r="AM35" s="30" t="n"/>
      <c r="AN35" s="30" t="n"/>
      <c r="AO35" s="30" t="n"/>
      <c r="AP35" s="30" t="n"/>
      <c r="AQ35" s="30" t="n"/>
      <c r="AR35" s="30" t="n"/>
      <c r="AS35" s="30" t="n"/>
      <c r="AT35" s="35">
        <f>IF(NOT(COUNTA(A35:AS35)&gt;0),"",IF(TEXTJOIN(", ",TRUE,IF(B35="","Название",""),IF(C35="","Тип недвижимости",""),IF(D35="","Страна",""),IF(E35="","Город",""),IF(F35="","Улица",""),IF(I35="","Валюта",""),IF(OR(AL35="",AL35&lt;1),"Хотя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земли",""),IF(OR(AQ35="",AQ35="Нет"),"Право собственности",""),IF(OR(AR35="",AR35="Нет"),"Справка об отсутствии обременений",""),IF(OR(X35="",X35&lt;=0),"Площадь участка проекта",""),IF(OR(Y35="",Y35&lt;=0),"Площадь строительства",""),IF(OR(Z35="",Z35&lt;0),"Стоимость участка",""),IF(OR(AA35="",AA35&lt;0),"Строительство",""),IF(OR(AB35="",AB35&lt;0),"Налоги и резерв",""),IF(OR(AC35="",AC35&lt;0),"Ожидаемая продажа",""),IF(OR(AD35="",AD35&lt;=0),"Капитал инвестора",""),IF(OR(AE35="",AE35&lt;=0,AE35&gt;600),"Срок в месяцах",""),IF(OR(AF35="",AF35&lt;0,AF35&gt;100),"Приоритетная доходность",""),IF(OR(AG35="",AG35&lt;0,AG35&gt;100),"Доля платформы",""),IF(AND(Z35&lt;&gt;"",AA35&lt;&gt;"",AB35&lt;&gt;"",AD35&lt;&gt;"",OR((Z35+AA35+AB35)&lt;=0,AD35&gt;(Z35+AA35+AB35))),"Капитал инвестора больше бюджета",""))="","",TEXTJOIN(", ",TRUE,IF(B35="","Название",""),IF(C35="","Тип недвижимости",""),IF(D35="","Страна",""),IF(E35="","Город",""),IF(F35="","Улица",""),IF(I35="","Валюта",""),IF(OR(AL35="",AL35&lt;1),"Хотя бы 1 фото",""),IF(AND(OR(C35="Квартира",C35="Апартаменты",C35="Дом",C35="Вилла",C35="Коммерческая"),J35=""),"Площадь",""),IF(AND(OR(C35="Квартира",C35="Апартаменты"),K35=""),"Жилая площадь",""),IF(AND(OR(C35="Дом",C35="Вилла",C35="Земля"),L35=""),"Площадь участка",""),IF(AND(OR(C35="Квартира",C35="Апартаменты"),M35=""),"Комнаты",""),IF(AND(OR(C35="Дом",C35="Вилла"),N35=""),"Спальни",""),IF(AND(OR(C35="Квартира",C35="Апартаменты",C35="Дом",C35="Вилла"),O35=""),"Ванные",""),IF(AND(OR(C35="Квартира",C35="Апартаменты"),P35=""),"Этаж",""),IF(AND(OR(OR(C35="Квартира",C35="Апартаменты"),OR(C35="Дом",C35="Вилла")),Q35=""),"Этажей",""),IF(AND(OR(OR(C35="Квартира",C35="Апартаменты"),OR(C35="Дом",C35="Вилла")),OR(R35="",R35&gt;YEAR(TODAY()))),"Год постройки",""),IF(AND(P35&lt;&gt;"",Q35&lt;&gt;"",P35&gt;Q35),"Этаж больше этажности",""),IF(AND(OR(C35="Квартира",C35="Апартаменты",C35="Дом",C35="Вилла"),S35=""),"Материал",""),IF(AND(OR(C35="Коммерческая"),U35=""),"Тип коммерции",""),IF(AND(OR(C35="Земля"),V35=""),"Назначение земли",""),IF(OR(AQ35="",AQ35="Нет"),"Право собственности",""),IF(OR(AR35="",AR35="Нет"),"Справка об отсутствии обременений",""),IF(OR(X35="",X35&lt;=0),"Площадь участка проекта",""),IF(OR(Y35="",Y35&lt;=0),"Площадь строительства",""),IF(OR(Z35="",Z35&lt;0),"Стоимость участка",""),IF(OR(AA35="",AA35&lt;0),"Строительство",""),IF(OR(AB35="",AB35&lt;0),"Налоги и резерв",""),IF(OR(AC35="",AC35&lt;0),"Ожидаемая продажа",""),IF(OR(AD35="",AD35&lt;=0),"Капитал инвестора",""),IF(OR(AE35="",AE35&lt;=0,AE35&gt;600),"Срок в месяцах",""),IF(OR(AF35="",AF35&lt;0,AF35&gt;100),"Приоритетная доходность",""),IF(OR(AG35="",AG35&lt;0,AG35&gt;100),"Доля платформы",""),IF(AND(Z35&lt;&gt;"",AA35&lt;&gt;"",AB35&lt;&gt;"",AD35&lt;&gt;"",OR((Z35+AA35+AB35)&lt;=0,AD35&gt;(Z35+AA35+AB35))),"Капитал инвестора больше бюджета",""))))</f>
        <v/>
      </c>
      <c r="AU35" s="35">
        <f>IF(NOT(COUNTA(A35:AS35)&gt;0),"",IF(TEXTJOIN(", ",TRUE,IF(AO35="","Описание",""),IF(AND(AL35&lt;&gt;"",AL35&gt;=1,AL35&lt;5),"Фото меньше 5",""),IF(AN35="","Видео",""),IF(H35="","Кадастровый номер",""),IF(AM35="","Ссылка на фото",""),IF(W35="","Цель продавца",""),IF(AJ35="","Лицензия",""),IF(AK35="","Допущения и источники",""))="","",TEXTJOIN(", ",TRUE,IF(AO35="","Описание",""),IF(AND(AL35&lt;&gt;"",AL35&gt;=1,AL35&lt;5),"Фото меньше 5",""),IF(AN35="","Видео",""),IF(H35="","Кадастровый номер",""),IF(AM35="","Ссылка на фото",""),IF(W35="","Цель продавца",""),IF(AJ35="","Лицензия",""),IF(AK35="","Допущения и источники",""))))</f>
        <v/>
      </c>
      <c r="AV35" s="35">
        <f>IF(NOT(COUNTA(A35:AS35)&gt;0),"",IF(AT35="","Можно публиковать","Не хватает"))</f>
        <v/>
      </c>
    </row>
    <row r="36" ht="22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7" t="n"/>
      <c r="K36" s="37" t="n"/>
      <c r="L36" s="37" t="n"/>
      <c r="M36" s="38" t="n"/>
      <c r="N36" s="38" t="n"/>
      <c r="O36" s="38" t="n"/>
      <c r="P36" s="38" t="n"/>
      <c r="Q36" s="38" t="n"/>
      <c r="R36" s="38" t="n"/>
      <c r="S36" s="36" t="n"/>
      <c r="T36" s="36" t="n"/>
      <c r="U36" s="36" t="n"/>
      <c r="V36" s="36" t="n"/>
      <c r="W36" s="36" t="n"/>
      <c r="X36" s="37" t="n"/>
      <c r="Y36" s="37" t="n"/>
      <c r="Z36" s="39" t="n"/>
      <c r="AA36" s="39" t="n"/>
      <c r="AB36" s="39" t="n"/>
      <c r="AC36" s="39" t="n"/>
      <c r="AD36" s="39" t="n"/>
      <c r="AE36" s="38" t="n"/>
      <c r="AF36" s="44" t="n"/>
      <c r="AG36" s="44" t="n"/>
      <c r="AH36" s="43">
        <f>IF(AND(Z36&lt;&gt;"",AA36&lt;&gt;"",AB36&lt;&gt;""),Z36+AA36+AB36,"")</f>
        <v/>
      </c>
      <c r="AI36" s="43">
        <f>IF(AND(AND(Z36&lt;&gt;"",AA36&lt;&gt;"",AB36&lt;&gt;""),AC36&lt;&gt;""),AC36-(Z36+AA36+AB36),"")</f>
        <v/>
      </c>
      <c r="AJ36" s="36" t="n"/>
      <c r="AK36" s="36" t="n"/>
      <c r="AL36" s="38" t="n"/>
      <c r="AM36" s="36" t="n"/>
      <c r="AN36" s="36" t="n"/>
      <c r="AO36" s="36" t="n"/>
      <c r="AP36" s="36" t="n"/>
      <c r="AQ36" s="36" t="n"/>
      <c r="AR36" s="36" t="n"/>
      <c r="AS36" s="36" t="n"/>
      <c r="AT36" s="35">
        <f>IF(NOT(COUNTA(A36:AS36)&gt;0),"",IF(TEXTJOIN(", ",TRUE,IF(B36="","Название",""),IF(C36="","Тип недвижимости",""),IF(D36="","Страна",""),IF(E36="","Город",""),IF(F36="","Улица",""),IF(I36="","Валюта",""),IF(OR(AL36="",AL36&lt;1),"Хотя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земли",""),IF(OR(AQ36="",AQ36="Нет"),"Право собственности",""),IF(OR(AR36="",AR36="Нет"),"Справка об отсутствии обременений",""),IF(OR(X36="",X36&lt;=0),"Площадь участка проекта",""),IF(OR(Y36="",Y36&lt;=0),"Площадь строительства",""),IF(OR(Z36="",Z36&lt;0),"Стоимость участка",""),IF(OR(AA36="",AA36&lt;0),"Строительство",""),IF(OR(AB36="",AB36&lt;0),"Налоги и резерв",""),IF(OR(AC36="",AC36&lt;0),"Ожидаемая продажа",""),IF(OR(AD36="",AD36&lt;=0),"Капитал инвестора",""),IF(OR(AE36="",AE36&lt;=0,AE36&gt;600),"Срок в месяцах",""),IF(OR(AF36="",AF36&lt;0,AF36&gt;100),"Приоритетная доходность",""),IF(OR(AG36="",AG36&lt;0,AG36&gt;100),"Доля платформы",""),IF(AND(Z36&lt;&gt;"",AA36&lt;&gt;"",AB36&lt;&gt;"",AD36&lt;&gt;"",OR((Z36+AA36+AB36)&lt;=0,AD36&gt;(Z36+AA36+AB36))),"Капитал инвестора больше бюджета",""))="","",TEXTJOIN(", ",TRUE,IF(B36="","Название",""),IF(C36="","Тип недвижимости",""),IF(D36="","Страна",""),IF(E36="","Город",""),IF(F36="","Улица",""),IF(I36="","Валюта",""),IF(OR(AL36="",AL36&lt;1),"Хотя бы 1 фото",""),IF(AND(OR(C36="Квартира",C36="Апартаменты",C36="Дом",C36="Вилла",C36="Коммерческая"),J36=""),"Площадь",""),IF(AND(OR(C36="Квартира",C36="Апартаменты"),K36=""),"Жилая площадь",""),IF(AND(OR(C36="Дом",C36="Вилла",C36="Земля"),L36=""),"Площадь участка",""),IF(AND(OR(C36="Квартира",C36="Апартаменты"),M36=""),"Комнаты",""),IF(AND(OR(C36="Дом",C36="Вилла"),N36=""),"Спальни",""),IF(AND(OR(C36="Квартира",C36="Апартаменты",C36="Дом",C36="Вилла"),O36=""),"Ванные",""),IF(AND(OR(C36="Квартира",C36="Апартаменты"),P36=""),"Этаж",""),IF(AND(OR(OR(C36="Квартира",C36="Апартаменты"),OR(C36="Дом",C36="Вилла")),Q36=""),"Этажей",""),IF(AND(OR(OR(C36="Квартира",C36="Апартаменты"),OR(C36="Дом",C36="Вилла")),OR(R36="",R36&gt;YEAR(TODAY()))),"Год постройки",""),IF(AND(P36&lt;&gt;"",Q36&lt;&gt;"",P36&gt;Q36),"Этаж больше этажности",""),IF(AND(OR(C36="Квартира",C36="Апартаменты",C36="Дом",C36="Вилла"),S36=""),"Материал",""),IF(AND(OR(C36="Коммерческая"),U36=""),"Тип коммерции",""),IF(AND(OR(C36="Земля"),V36=""),"Назначение земли",""),IF(OR(AQ36="",AQ36="Нет"),"Право собственности",""),IF(OR(AR36="",AR36="Нет"),"Справка об отсутствии обременений",""),IF(OR(X36="",X36&lt;=0),"Площадь участка проекта",""),IF(OR(Y36="",Y36&lt;=0),"Площадь строительства",""),IF(OR(Z36="",Z36&lt;0),"Стоимость участка",""),IF(OR(AA36="",AA36&lt;0),"Строительство",""),IF(OR(AB36="",AB36&lt;0),"Налоги и резерв",""),IF(OR(AC36="",AC36&lt;0),"Ожидаемая продажа",""),IF(OR(AD36="",AD36&lt;=0),"Капитал инвестора",""),IF(OR(AE36="",AE36&lt;=0,AE36&gt;600),"Срок в месяцах",""),IF(OR(AF36="",AF36&lt;0,AF36&gt;100),"Приоритетная доходность",""),IF(OR(AG36="",AG36&lt;0,AG36&gt;100),"Доля платформы",""),IF(AND(Z36&lt;&gt;"",AA36&lt;&gt;"",AB36&lt;&gt;"",AD36&lt;&gt;"",OR((Z36+AA36+AB36)&lt;=0,AD36&gt;(Z36+AA36+AB36))),"Капитал инвестора больше бюджета",""))))</f>
        <v/>
      </c>
      <c r="AU36" s="35">
        <f>IF(NOT(COUNTA(A36:AS36)&gt;0),"",IF(TEXTJOIN(", ",TRUE,IF(AO36="","Описание",""),IF(AND(AL36&lt;&gt;"",AL36&gt;=1,AL36&lt;5),"Фото меньше 5",""),IF(AN36="","Видео",""),IF(H36="","Кадастровый номер",""),IF(AM36="","Ссылка на фото",""),IF(W36="","Цель продавца",""),IF(AJ36="","Лицензия",""),IF(AK36="","Допущения и источники",""))="","",TEXTJOIN(", ",TRUE,IF(AO36="","Описание",""),IF(AND(AL36&lt;&gt;"",AL36&gt;=1,AL36&lt;5),"Фото меньше 5",""),IF(AN36="","Видео",""),IF(H36="","Кадастровый номер",""),IF(AM36="","Ссылка на фото",""),IF(W36="","Цель продавца",""),IF(AJ36="","Лицензия",""),IF(AK36="","Допущения и источники",""))))</f>
        <v/>
      </c>
      <c r="AV36" s="35">
        <f>IF(NOT(COUNTA(A36:AS36)&gt;0),"",IF(AT36="","Можно публиковать","Не хватает"))</f>
        <v/>
      </c>
    </row>
    <row r="37" ht="22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  <c r="K37" s="31" t="n"/>
      <c r="L37" s="31" t="n"/>
      <c r="M37" s="32" t="n"/>
      <c r="N37" s="32" t="n"/>
      <c r="O37" s="32" t="n"/>
      <c r="P37" s="32" t="n"/>
      <c r="Q37" s="32" t="n"/>
      <c r="R37" s="32" t="n"/>
      <c r="S37" s="30" t="n"/>
      <c r="T37" s="30" t="n"/>
      <c r="U37" s="30" t="n"/>
      <c r="V37" s="30" t="n"/>
      <c r="W37" s="30" t="n"/>
      <c r="X37" s="31" t="n"/>
      <c r="Y37" s="31" t="n"/>
      <c r="Z37" s="33" t="n"/>
      <c r="AA37" s="33" t="n"/>
      <c r="AB37" s="33" t="n"/>
      <c r="AC37" s="33" t="n"/>
      <c r="AD37" s="33" t="n"/>
      <c r="AE37" s="32" t="n"/>
      <c r="AF37" s="42" t="n"/>
      <c r="AG37" s="42" t="n"/>
      <c r="AH37" s="43">
        <f>IF(AND(Z37&lt;&gt;"",AA37&lt;&gt;"",AB37&lt;&gt;""),Z37+AA37+AB37,"")</f>
        <v/>
      </c>
      <c r="AI37" s="43">
        <f>IF(AND(AND(Z37&lt;&gt;"",AA37&lt;&gt;"",AB37&lt;&gt;""),AC37&lt;&gt;""),AC37-(Z37+AA37+AB37),"")</f>
        <v/>
      </c>
      <c r="AJ37" s="30" t="n"/>
      <c r="AK37" s="30" t="n"/>
      <c r="AL37" s="32" t="n"/>
      <c r="AM37" s="30" t="n"/>
      <c r="AN37" s="30" t="n"/>
      <c r="AO37" s="30" t="n"/>
      <c r="AP37" s="30" t="n"/>
      <c r="AQ37" s="30" t="n"/>
      <c r="AR37" s="30" t="n"/>
      <c r="AS37" s="30" t="n"/>
      <c r="AT37" s="35">
        <f>IF(NOT(COUNTA(A37:AS37)&gt;0),"",IF(TEXTJOIN(", ",TRUE,IF(B37="","Название",""),IF(C37="","Тип недвижимости",""),IF(D37="","Страна",""),IF(E37="","Город",""),IF(F37="","Улица",""),IF(I37="","Валюта",""),IF(OR(AL37="",AL37&lt;1),"Хотя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земли",""),IF(OR(AQ37="",AQ37="Нет"),"Право собственности",""),IF(OR(AR37="",AR37="Нет"),"Справка об отсутствии обременений",""),IF(OR(X37="",X37&lt;=0),"Площадь участка проекта",""),IF(OR(Y37="",Y37&lt;=0),"Площадь строительства",""),IF(OR(Z37="",Z37&lt;0),"Стоимость участка",""),IF(OR(AA37="",AA37&lt;0),"Строительство",""),IF(OR(AB37="",AB37&lt;0),"Налоги и резерв",""),IF(OR(AC37="",AC37&lt;0),"Ожидаемая продажа",""),IF(OR(AD37="",AD37&lt;=0),"Капитал инвестора",""),IF(OR(AE37="",AE37&lt;=0,AE37&gt;600),"Срок в месяцах",""),IF(OR(AF37="",AF37&lt;0,AF37&gt;100),"Приоритетная доходность",""),IF(OR(AG37="",AG37&lt;0,AG37&gt;100),"Доля платформы",""),IF(AND(Z37&lt;&gt;"",AA37&lt;&gt;"",AB37&lt;&gt;"",AD37&lt;&gt;"",OR((Z37+AA37+AB37)&lt;=0,AD37&gt;(Z37+AA37+AB37))),"Капитал инвестора больше бюджета",""))="","",TEXTJOIN(", ",TRUE,IF(B37="","Название",""),IF(C37="","Тип недвижимости",""),IF(D37="","Страна",""),IF(E37="","Город",""),IF(F37="","Улица",""),IF(I37="","Валюта",""),IF(OR(AL37="",AL37&lt;1),"Хотя бы 1 фото",""),IF(AND(OR(C37="Квартира",C37="Апартаменты",C37="Дом",C37="Вилла",C37="Коммерческая"),J37=""),"Площадь",""),IF(AND(OR(C37="Квартира",C37="Апартаменты"),K37=""),"Жилая площадь",""),IF(AND(OR(C37="Дом",C37="Вилла",C37="Земля"),L37=""),"Площадь участка",""),IF(AND(OR(C37="Квартира",C37="Апартаменты"),M37=""),"Комнаты",""),IF(AND(OR(C37="Дом",C37="Вилла"),N37=""),"Спальни",""),IF(AND(OR(C37="Квартира",C37="Апартаменты",C37="Дом",C37="Вилла"),O37=""),"Ванные",""),IF(AND(OR(C37="Квартира",C37="Апартаменты"),P37=""),"Этаж",""),IF(AND(OR(OR(C37="Квартира",C37="Апартаменты"),OR(C37="Дом",C37="Вилла")),Q37=""),"Этажей",""),IF(AND(OR(OR(C37="Квартира",C37="Апартаменты"),OR(C37="Дом",C37="Вилла")),OR(R37="",R37&gt;YEAR(TODAY()))),"Год постройки",""),IF(AND(P37&lt;&gt;"",Q37&lt;&gt;"",P37&gt;Q37),"Этаж больше этажности",""),IF(AND(OR(C37="Квартира",C37="Апартаменты",C37="Дом",C37="Вилла"),S37=""),"Материал",""),IF(AND(OR(C37="Коммерческая"),U37=""),"Тип коммерции",""),IF(AND(OR(C37="Земля"),V37=""),"Назначение земли",""),IF(OR(AQ37="",AQ37="Нет"),"Право собственности",""),IF(OR(AR37="",AR37="Нет"),"Справка об отсутствии обременений",""),IF(OR(X37="",X37&lt;=0),"Площадь участка проекта",""),IF(OR(Y37="",Y37&lt;=0),"Площадь строительства",""),IF(OR(Z37="",Z37&lt;0),"Стоимость участка",""),IF(OR(AA37="",AA37&lt;0),"Строительство",""),IF(OR(AB37="",AB37&lt;0),"Налоги и резерв",""),IF(OR(AC37="",AC37&lt;0),"Ожидаемая продажа",""),IF(OR(AD37="",AD37&lt;=0),"Капитал инвестора",""),IF(OR(AE37="",AE37&lt;=0,AE37&gt;600),"Срок в месяцах",""),IF(OR(AF37="",AF37&lt;0,AF37&gt;100),"Приоритетная доходность",""),IF(OR(AG37="",AG37&lt;0,AG37&gt;100),"Доля платформы",""),IF(AND(Z37&lt;&gt;"",AA37&lt;&gt;"",AB37&lt;&gt;"",AD37&lt;&gt;"",OR((Z37+AA37+AB37)&lt;=0,AD37&gt;(Z37+AA37+AB37))),"Капитал инвестора больше бюджета",""))))</f>
        <v/>
      </c>
      <c r="AU37" s="35">
        <f>IF(NOT(COUNTA(A37:AS37)&gt;0),"",IF(TEXTJOIN(", ",TRUE,IF(AO37="","Описание",""),IF(AND(AL37&lt;&gt;"",AL37&gt;=1,AL37&lt;5),"Фото меньше 5",""),IF(AN37="","Видео",""),IF(H37="","Кадастровый номер",""),IF(AM37="","Ссылка на фото",""),IF(W37="","Цель продавца",""),IF(AJ37="","Лицензия",""),IF(AK37="","Допущения и источники",""))="","",TEXTJOIN(", ",TRUE,IF(AO37="","Описание",""),IF(AND(AL37&lt;&gt;"",AL37&gt;=1,AL37&lt;5),"Фото меньше 5",""),IF(AN37="","Видео",""),IF(H37="","Кадастровый номер",""),IF(AM37="","Ссылка на фото",""),IF(W37="","Цель продавца",""),IF(AJ37="","Лицензия",""),IF(AK37="","Допущения и источники",""))))</f>
        <v/>
      </c>
      <c r="AV37" s="35">
        <f>IF(NOT(COUNTA(A37:AS37)&gt;0),"",IF(AT37="","Можно публиковать","Не хватает"))</f>
        <v/>
      </c>
    </row>
    <row r="38" ht="22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7" t="n"/>
      <c r="K38" s="37" t="n"/>
      <c r="L38" s="37" t="n"/>
      <c r="M38" s="38" t="n"/>
      <c r="N38" s="38" t="n"/>
      <c r="O38" s="38" t="n"/>
      <c r="P38" s="38" t="n"/>
      <c r="Q38" s="38" t="n"/>
      <c r="R38" s="38" t="n"/>
      <c r="S38" s="36" t="n"/>
      <c r="T38" s="36" t="n"/>
      <c r="U38" s="36" t="n"/>
      <c r="V38" s="36" t="n"/>
      <c r="W38" s="36" t="n"/>
      <c r="X38" s="37" t="n"/>
      <c r="Y38" s="37" t="n"/>
      <c r="Z38" s="39" t="n"/>
      <c r="AA38" s="39" t="n"/>
      <c r="AB38" s="39" t="n"/>
      <c r="AC38" s="39" t="n"/>
      <c r="AD38" s="39" t="n"/>
      <c r="AE38" s="38" t="n"/>
      <c r="AF38" s="44" t="n"/>
      <c r="AG38" s="44" t="n"/>
      <c r="AH38" s="43">
        <f>IF(AND(Z38&lt;&gt;"",AA38&lt;&gt;"",AB38&lt;&gt;""),Z38+AA38+AB38,"")</f>
        <v/>
      </c>
      <c r="AI38" s="43">
        <f>IF(AND(AND(Z38&lt;&gt;"",AA38&lt;&gt;"",AB38&lt;&gt;""),AC38&lt;&gt;""),AC38-(Z38+AA38+AB38),"")</f>
        <v/>
      </c>
      <c r="AJ38" s="36" t="n"/>
      <c r="AK38" s="36" t="n"/>
      <c r="AL38" s="38" t="n"/>
      <c r="AM38" s="36" t="n"/>
      <c r="AN38" s="36" t="n"/>
      <c r="AO38" s="36" t="n"/>
      <c r="AP38" s="36" t="n"/>
      <c r="AQ38" s="36" t="n"/>
      <c r="AR38" s="36" t="n"/>
      <c r="AS38" s="36" t="n"/>
      <c r="AT38" s="35">
        <f>IF(NOT(COUNTA(A38:AS38)&gt;0),"",IF(TEXTJOIN(", ",TRUE,IF(B38="","Название",""),IF(C38="","Тип недвижимости",""),IF(D38="","Страна",""),IF(E38="","Город",""),IF(F38="","Улица",""),IF(I38="","Валюта",""),IF(OR(AL38="",AL38&lt;1),"Хотя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земли",""),IF(OR(AQ38="",AQ38="Нет"),"Право собственности",""),IF(OR(AR38="",AR38="Нет"),"Справка об отсутствии обременений",""),IF(OR(X38="",X38&lt;=0),"Площадь участка проекта",""),IF(OR(Y38="",Y38&lt;=0),"Площадь строительства",""),IF(OR(Z38="",Z38&lt;0),"Стоимость участка",""),IF(OR(AA38="",AA38&lt;0),"Строительство",""),IF(OR(AB38="",AB38&lt;0),"Налоги и резерв",""),IF(OR(AC38="",AC38&lt;0),"Ожидаемая продажа",""),IF(OR(AD38="",AD38&lt;=0),"Капитал инвестора",""),IF(OR(AE38="",AE38&lt;=0,AE38&gt;600),"Срок в месяцах",""),IF(OR(AF38="",AF38&lt;0,AF38&gt;100),"Приоритетная доходность",""),IF(OR(AG38="",AG38&lt;0,AG38&gt;100),"Доля платформы",""),IF(AND(Z38&lt;&gt;"",AA38&lt;&gt;"",AB38&lt;&gt;"",AD38&lt;&gt;"",OR((Z38+AA38+AB38)&lt;=0,AD38&gt;(Z38+AA38+AB38))),"Капитал инвестора больше бюджета",""))="","",TEXTJOIN(", ",TRUE,IF(B38="","Название",""),IF(C38="","Тип недвижимости",""),IF(D38="","Страна",""),IF(E38="","Город",""),IF(F38="","Улица",""),IF(I38="","Валюта",""),IF(OR(AL38="",AL38&lt;1),"Хотя бы 1 фото",""),IF(AND(OR(C38="Квартира",C38="Апартаменты",C38="Дом",C38="Вилла",C38="Коммерческая"),J38=""),"Площадь",""),IF(AND(OR(C38="Квартира",C38="Апартаменты"),K38=""),"Жилая площадь",""),IF(AND(OR(C38="Дом",C38="Вилла",C38="Земля"),L38=""),"Площадь участка",""),IF(AND(OR(C38="Квартира",C38="Апартаменты"),M38=""),"Комнаты",""),IF(AND(OR(C38="Дом",C38="Вилла"),N38=""),"Спальни",""),IF(AND(OR(C38="Квартира",C38="Апартаменты",C38="Дом",C38="Вилла"),O38=""),"Ванные",""),IF(AND(OR(C38="Квартира",C38="Апартаменты"),P38=""),"Этаж",""),IF(AND(OR(OR(C38="Квартира",C38="Апартаменты"),OR(C38="Дом",C38="Вилла")),Q38=""),"Этажей",""),IF(AND(OR(OR(C38="Квартира",C38="Апартаменты"),OR(C38="Дом",C38="Вилла")),OR(R38="",R38&gt;YEAR(TODAY()))),"Год постройки",""),IF(AND(P38&lt;&gt;"",Q38&lt;&gt;"",P38&gt;Q38),"Этаж больше этажности",""),IF(AND(OR(C38="Квартира",C38="Апартаменты",C38="Дом",C38="Вилла"),S38=""),"Материал",""),IF(AND(OR(C38="Коммерческая"),U38=""),"Тип коммерции",""),IF(AND(OR(C38="Земля"),V38=""),"Назначение земли",""),IF(OR(AQ38="",AQ38="Нет"),"Право собственности",""),IF(OR(AR38="",AR38="Нет"),"Справка об отсутствии обременений",""),IF(OR(X38="",X38&lt;=0),"Площадь участка проекта",""),IF(OR(Y38="",Y38&lt;=0),"Площадь строительства",""),IF(OR(Z38="",Z38&lt;0),"Стоимость участка",""),IF(OR(AA38="",AA38&lt;0),"Строительство",""),IF(OR(AB38="",AB38&lt;0),"Налоги и резерв",""),IF(OR(AC38="",AC38&lt;0),"Ожидаемая продажа",""),IF(OR(AD38="",AD38&lt;=0),"Капитал инвестора",""),IF(OR(AE38="",AE38&lt;=0,AE38&gt;600),"Срок в месяцах",""),IF(OR(AF38="",AF38&lt;0,AF38&gt;100),"Приоритетная доходность",""),IF(OR(AG38="",AG38&lt;0,AG38&gt;100),"Доля платформы",""),IF(AND(Z38&lt;&gt;"",AA38&lt;&gt;"",AB38&lt;&gt;"",AD38&lt;&gt;"",OR((Z38+AA38+AB38)&lt;=0,AD38&gt;(Z38+AA38+AB38))),"Капитал инвестора больше бюджета",""))))</f>
        <v/>
      </c>
      <c r="AU38" s="35">
        <f>IF(NOT(COUNTA(A38:AS38)&gt;0),"",IF(TEXTJOIN(", ",TRUE,IF(AO38="","Описание",""),IF(AND(AL38&lt;&gt;"",AL38&gt;=1,AL38&lt;5),"Фото меньше 5",""),IF(AN38="","Видео",""),IF(H38="","Кадастровый номер",""),IF(AM38="","Ссылка на фото",""),IF(W38="","Цель продавца",""),IF(AJ38="","Лицензия",""),IF(AK38="","Допущения и источники",""))="","",TEXTJOIN(", ",TRUE,IF(AO38="","Описание",""),IF(AND(AL38&lt;&gt;"",AL38&gt;=1,AL38&lt;5),"Фото меньше 5",""),IF(AN38="","Видео",""),IF(H38="","Кадастровый номер",""),IF(AM38="","Ссылка на фото",""),IF(W38="","Цель продавца",""),IF(AJ38="","Лицензия",""),IF(AK38="","Допущения и источники",""))))</f>
        <v/>
      </c>
      <c r="AV38" s="35">
        <f>IF(NOT(COUNTA(A38:AS38)&gt;0),"",IF(AT38="","Можно публиковать","Не хватает"))</f>
        <v/>
      </c>
    </row>
    <row r="39" ht="22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 t="n"/>
      <c r="K39" s="31" t="n"/>
      <c r="L39" s="31" t="n"/>
      <c r="M39" s="32" t="n"/>
      <c r="N39" s="32" t="n"/>
      <c r="O39" s="32" t="n"/>
      <c r="P39" s="32" t="n"/>
      <c r="Q39" s="32" t="n"/>
      <c r="R39" s="32" t="n"/>
      <c r="S39" s="30" t="n"/>
      <c r="T39" s="30" t="n"/>
      <c r="U39" s="30" t="n"/>
      <c r="V39" s="30" t="n"/>
      <c r="W39" s="30" t="n"/>
      <c r="X39" s="31" t="n"/>
      <c r="Y39" s="31" t="n"/>
      <c r="Z39" s="33" t="n"/>
      <c r="AA39" s="33" t="n"/>
      <c r="AB39" s="33" t="n"/>
      <c r="AC39" s="33" t="n"/>
      <c r="AD39" s="33" t="n"/>
      <c r="AE39" s="32" t="n"/>
      <c r="AF39" s="42" t="n"/>
      <c r="AG39" s="42" t="n"/>
      <c r="AH39" s="43">
        <f>IF(AND(Z39&lt;&gt;"",AA39&lt;&gt;"",AB39&lt;&gt;""),Z39+AA39+AB39,"")</f>
        <v/>
      </c>
      <c r="AI39" s="43">
        <f>IF(AND(AND(Z39&lt;&gt;"",AA39&lt;&gt;"",AB39&lt;&gt;""),AC39&lt;&gt;""),AC39-(Z39+AA39+AB39),"")</f>
        <v/>
      </c>
      <c r="AJ39" s="30" t="n"/>
      <c r="AK39" s="30" t="n"/>
      <c r="AL39" s="32" t="n"/>
      <c r="AM39" s="30" t="n"/>
      <c r="AN39" s="30" t="n"/>
      <c r="AO39" s="30" t="n"/>
      <c r="AP39" s="30" t="n"/>
      <c r="AQ39" s="30" t="n"/>
      <c r="AR39" s="30" t="n"/>
      <c r="AS39" s="30" t="n"/>
      <c r="AT39" s="35">
        <f>IF(NOT(COUNTA(A39:AS39)&gt;0),"",IF(TEXTJOIN(", ",TRUE,IF(B39="","Название",""),IF(C39="","Тип недвижимости",""),IF(D39="","Страна",""),IF(E39="","Город",""),IF(F39="","Улица",""),IF(I39="","Валюта",""),IF(OR(AL39="",AL39&lt;1),"Хотя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земли",""),IF(OR(AQ39="",AQ39="Нет"),"Право собственности",""),IF(OR(AR39="",AR39="Нет"),"Справка об отсутствии обременений",""),IF(OR(X39="",X39&lt;=0),"Площадь участка проекта",""),IF(OR(Y39="",Y39&lt;=0),"Площадь строительства",""),IF(OR(Z39="",Z39&lt;0),"Стоимость участка",""),IF(OR(AA39="",AA39&lt;0),"Строительство",""),IF(OR(AB39="",AB39&lt;0),"Налоги и резерв",""),IF(OR(AC39="",AC39&lt;0),"Ожидаемая продажа",""),IF(OR(AD39="",AD39&lt;=0),"Капитал инвестора",""),IF(OR(AE39="",AE39&lt;=0,AE39&gt;600),"Срок в месяцах",""),IF(OR(AF39="",AF39&lt;0,AF39&gt;100),"Приоритетная доходность",""),IF(OR(AG39="",AG39&lt;0,AG39&gt;100),"Доля платформы",""),IF(AND(Z39&lt;&gt;"",AA39&lt;&gt;"",AB39&lt;&gt;"",AD39&lt;&gt;"",OR((Z39+AA39+AB39)&lt;=0,AD39&gt;(Z39+AA39+AB39))),"Капитал инвестора больше бюджета",""))="","",TEXTJOIN(", ",TRUE,IF(B39="","Название",""),IF(C39="","Тип недвижимости",""),IF(D39="","Страна",""),IF(E39="","Город",""),IF(F39="","Улица",""),IF(I39="","Валюта",""),IF(OR(AL39="",AL39&lt;1),"Хотя бы 1 фото",""),IF(AND(OR(C39="Квартира",C39="Апартаменты",C39="Дом",C39="Вилла",C39="Коммерческая"),J39=""),"Площадь",""),IF(AND(OR(C39="Квартира",C39="Апартаменты"),K39=""),"Жилая площадь",""),IF(AND(OR(C39="Дом",C39="Вилла",C39="Земля"),L39=""),"Площадь участка",""),IF(AND(OR(C39="Квартира",C39="Апартаменты"),M39=""),"Комнаты",""),IF(AND(OR(C39="Дом",C39="Вилла"),N39=""),"Спальни",""),IF(AND(OR(C39="Квартира",C39="Апартаменты",C39="Дом",C39="Вилла"),O39=""),"Ванные",""),IF(AND(OR(C39="Квартира",C39="Апартаменты"),P39=""),"Этаж",""),IF(AND(OR(OR(C39="Квартира",C39="Апартаменты"),OR(C39="Дом",C39="Вилла")),Q39=""),"Этажей",""),IF(AND(OR(OR(C39="Квартира",C39="Апартаменты"),OR(C39="Дом",C39="Вилла")),OR(R39="",R39&gt;YEAR(TODAY()))),"Год постройки",""),IF(AND(P39&lt;&gt;"",Q39&lt;&gt;"",P39&gt;Q39),"Этаж больше этажности",""),IF(AND(OR(C39="Квартира",C39="Апартаменты",C39="Дом",C39="Вилла"),S39=""),"Материал",""),IF(AND(OR(C39="Коммерческая"),U39=""),"Тип коммерции",""),IF(AND(OR(C39="Земля"),V39=""),"Назначение земли",""),IF(OR(AQ39="",AQ39="Нет"),"Право собственности",""),IF(OR(AR39="",AR39="Нет"),"Справка об отсутствии обременений",""),IF(OR(X39="",X39&lt;=0),"Площадь участка проекта",""),IF(OR(Y39="",Y39&lt;=0),"Площадь строительства",""),IF(OR(Z39="",Z39&lt;0),"Стоимость участка",""),IF(OR(AA39="",AA39&lt;0),"Строительство",""),IF(OR(AB39="",AB39&lt;0),"Налоги и резерв",""),IF(OR(AC39="",AC39&lt;0),"Ожидаемая продажа",""),IF(OR(AD39="",AD39&lt;=0),"Капитал инвестора",""),IF(OR(AE39="",AE39&lt;=0,AE39&gt;600),"Срок в месяцах",""),IF(OR(AF39="",AF39&lt;0,AF39&gt;100),"Приоритетная доходность",""),IF(OR(AG39="",AG39&lt;0,AG39&gt;100),"Доля платформы",""),IF(AND(Z39&lt;&gt;"",AA39&lt;&gt;"",AB39&lt;&gt;"",AD39&lt;&gt;"",OR((Z39+AA39+AB39)&lt;=0,AD39&gt;(Z39+AA39+AB39))),"Капитал инвестора больше бюджета",""))))</f>
        <v/>
      </c>
      <c r="AU39" s="35">
        <f>IF(NOT(COUNTA(A39:AS39)&gt;0),"",IF(TEXTJOIN(", ",TRUE,IF(AO39="","Описание",""),IF(AND(AL39&lt;&gt;"",AL39&gt;=1,AL39&lt;5),"Фото меньше 5",""),IF(AN39="","Видео",""),IF(H39="","Кадастровый номер",""),IF(AM39="","Ссылка на фото",""),IF(W39="","Цель продавца",""),IF(AJ39="","Лицензия",""),IF(AK39="","Допущения и источники",""))="","",TEXTJOIN(", ",TRUE,IF(AO39="","Описание",""),IF(AND(AL39&lt;&gt;"",AL39&gt;=1,AL39&lt;5),"Фото меньше 5",""),IF(AN39="","Видео",""),IF(H39="","Кадастровый номер",""),IF(AM39="","Ссылка на фото",""),IF(W39="","Цель продавца",""),IF(AJ39="","Лицензия",""),IF(AK39="","Допущения и источники",""))))</f>
        <v/>
      </c>
      <c r="AV39" s="35">
        <f>IF(NOT(COUNTA(A39:AS39)&gt;0),"",IF(AT39="","Можно публиковать","Не хватает"))</f>
        <v/>
      </c>
    </row>
    <row r="40" ht="22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7" t="n"/>
      <c r="K40" s="37" t="n"/>
      <c r="L40" s="37" t="n"/>
      <c r="M40" s="38" t="n"/>
      <c r="N40" s="38" t="n"/>
      <c r="O40" s="38" t="n"/>
      <c r="P40" s="38" t="n"/>
      <c r="Q40" s="38" t="n"/>
      <c r="R40" s="38" t="n"/>
      <c r="S40" s="36" t="n"/>
      <c r="T40" s="36" t="n"/>
      <c r="U40" s="36" t="n"/>
      <c r="V40" s="36" t="n"/>
      <c r="W40" s="36" t="n"/>
      <c r="X40" s="37" t="n"/>
      <c r="Y40" s="37" t="n"/>
      <c r="Z40" s="39" t="n"/>
      <c r="AA40" s="39" t="n"/>
      <c r="AB40" s="39" t="n"/>
      <c r="AC40" s="39" t="n"/>
      <c r="AD40" s="39" t="n"/>
      <c r="AE40" s="38" t="n"/>
      <c r="AF40" s="44" t="n"/>
      <c r="AG40" s="44" t="n"/>
      <c r="AH40" s="43">
        <f>IF(AND(Z40&lt;&gt;"",AA40&lt;&gt;"",AB40&lt;&gt;""),Z40+AA40+AB40,"")</f>
        <v/>
      </c>
      <c r="AI40" s="43">
        <f>IF(AND(AND(Z40&lt;&gt;"",AA40&lt;&gt;"",AB40&lt;&gt;""),AC40&lt;&gt;""),AC40-(Z40+AA40+AB40),"")</f>
        <v/>
      </c>
      <c r="AJ40" s="36" t="n"/>
      <c r="AK40" s="36" t="n"/>
      <c r="AL40" s="38" t="n"/>
      <c r="AM40" s="36" t="n"/>
      <c r="AN40" s="36" t="n"/>
      <c r="AO40" s="36" t="n"/>
      <c r="AP40" s="36" t="n"/>
      <c r="AQ40" s="36" t="n"/>
      <c r="AR40" s="36" t="n"/>
      <c r="AS40" s="36" t="n"/>
      <c r="AT40" s="35">
        <f>IF(NOT(COUNTA(A40:AS40)&gt;0),"",IF(TEXTJOIN(", ",TRUE,IF(B40="","Название",""),IF(C40="","Тип недвижимости",""),IF(D40="","Страна",""),IF(E40="","Город",""),IF(F40="","Улица",""),IF(I40="","Валюта",""),IF(OR(AL40="",AL40&lt;1),"Хотя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земли",""),IF(OR(AQ40="",AQ40="Нет"),"Право собственности",""),IF(OR(AR40="",AR40="Нет"),"Справка об отсутствии обременений",""),IF(OR(X40="",X40&lt;=0),"Площадь участка проекта",""),IF(OR(Y40="",Y40&lt;=0),"Площадь строительства",""),IF(OR(Z40="",Z40&lt;0),"Стоимость участка",""),IF(OR(AA40="",AA40&lt;0),"Строительство",""),IF(OR(AB40="",AB40&lt;0),"Налоги и резерв",""),IF(OR(AC40="",AC40&lt;0),"Ожидаемая продажа",""),IF(OR(AD40="",AD40&lt;=0),"Капитал инвестора",""),IF(OR(AE40="",AE40&lt;=0,AE40&gt;600),"Срок в месяцах",""),IF(OR(AF40="",AF40&lt;0,AF40&gt;100),"Приоритетная доходность",""),IF(OR(AG40="",AG40&lt;0,AG40&gt;100),"Доля платформы",""),IF(AND(Z40&lt;&gt;"",AA40&lt;&gt;"",AB40&lt;&gt;"",AD40&lt;&gt;"",OR((Z40+AA40+AB40)&lt;=0,AD40&gt;(Z40+AA40+AB40))),"Капитал инвестора больше бюджета",""))="","",TEXTJOIN(", ",TRUE,IF(B40="","Название",""),IF(C40="","Тип недвижимости",""),IF(D40="","Страна",""),IF(E40="","Город",""),IF(F40="","Улица",""),IF(I40="","Валюта",""),IF(OR(AL40="",AL40&lt;1),"Хотя бы 1 фото",""),IF(AND(OR(C40="Квартира",C40="Апартаменты",C40="Дом",C40="Вилла",C40="Коммерческая"),J40=""),"Площадь",""),IF(AND(OR(C40="Квартира",C40="Апартаменты"),K40=""),"Жилая площадь",""),IF(AND(OR(C40="Дом",C40="Вилла",C40="Земля"),L40=""),"Площадь участка",""),IF(AND(OR(C40="Квартира",C40="Апартаменты"),M40=""),"Комнаты",""),IF(AND(OR(C40="Дом",C40="Вилла"),N40=""),"Спальни",""),IF(AND(OR(C40="Квартира",C40="Апартаменты",C40="Дом",C40="Вилла"),O40=""),"Ванные",""),IF(AND(OR(C40="Квартира",C40="Апартаменты"),P40=""),"Этаж",""),IF(AND(OR(OR(C40="Квартира",C40="Апартаменты"),OR(C40="Дом",C40="Вилла")),Q40=""),"Этажей",""),IF(AND(OR(OR(C40="Квартира",C40="Апартаменты"),OR(C40="Дом",C40="Вилла")),OR(R40="",R40&gt;YEAR(TODAY()))),"Год постройки",""),IF(AND(P40&lt;&gt;"",Q40&lt;&gt;"",P40&gt;Q40),"Этаж больше этажности",""),IF(AND(OR(C40="Квартира",C40="Апартаменты",C40="Дом",C40="Вилла"),S40=""),"Материал",""),IF(AND(OR(C40="Коммерческая"),U40=""),"Тип коммерции",""),IF(AND(OR(C40="Земля"),V40=""),"Назначение земли",""),IF(OR(AQ40="",AQ40="Нет"),"Право собственности",""),IF(OR(AR40="",AR40="Нет"),"Справка об отсутствии обременений",""),IF(OR(X40="",X40&lt;=0),"Площадь участка проекта",""),IF(OR(Y40="",Y40&lt;=0),"Площадь строительства",""),IF(OR(Z40="",Z40&lt;0),"Стоимость участка",""),IF(OR(AA40="",AA40&lt;0),"Строительство",""),IF(OR(AB40="",AB40&lt;0),"Налоги и резерв",""),IF(OR(AC40="",AC40&lt;0),"Ожидаемая продажа",""),IF(OR(AD40="",AD40&lt;=0),"Капитал инвестора",""),IF(OR(AE40="",AE40&lt;=0,AE40&gt;600),"Срок в месяцах",""),IF(OR(AF40="",AF40&lt;0,AF40&gt;100),"Приоритетная доходность",""),IF(OR(AG40="",AG40&lt;0,AG40&gt;100),"Доля платформы",""),IF(AND(Z40&lt;&gt;"",AA40&lt;&gt;"",AB40&lt;&gt;"",AD40&lt;&gt;"",OR((Z40+AA40+AB40)&lt;=0,AD40&gt;(Z40+AA40+AB40))),"Капитал инвестора больше бюджета",""))))</f>
        <v/>
      </c>
      <c r="AU40" s="35">
        <f>IF(NOT(COUNTA(A40:AS40)&gt;0),"",IF(TEXTJOIN(", ",TRUE,IF(AO40="","Описание",""),IF(AND(AL40&lt;&gt;"",AL40&gt;=1,AL40&lt;5),"Фото меньше 5",""),IF(AN40="","Видео",""),IF(H40="","Кадастровый номер",""),IF(AM40="","Ссылка на фото",""),IF(W40="","Цель продавца",""),IF(AJ40="","Лицензия",""),IF(AK40="","Допущения и источники",""))="","",TEXTJOIN(", ",TRUE,IF(AO40="","Описание",""),IF(AND(AL40&lt;&gt;"",AL40&gt;=1,AL40&lt;5),"Фото меньше 5",""),IF(AN40="","Видео",""),IF(H40="","Кадастровый номер",""),IF(AM40="","Ссылка на фото",""),IF(W40="","Цель продавца",""),IF(AJ40="","Лицензия",""),IF(AK40="","Допущения и источники",""))))</f>
        <v/>
      </c>
      <c r="AV40" s="35">
        <f>IF(NOT(COUNTA(A40:AS40)&gt;0),"",IF(AT40="","Можно публиковать","Не хватает"))</f>
        <v/>
      </c>
    </row>
    <row r="41" ht="22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  <c r="K41" s="31" t="n"/>
      <c r="L41" s="31" t="n"/>
      <c r="M41" s="32" t="n"/>
      <c r="N41" s="32" t="n"/>
      <c r="O41" s="32" t="n"/>
      <c r="P41" s="32" t="n"/>
      <c r="Q41" s="32" t="n"/>
      <c r="R41" s="32" t="n"/>
      <c r="S41" s="30" t="n"/>
      <c r="T41" s="30" t="n"/>
      <c r="U41" s="30" t="n"/>
      <c r="V41" s="30" t="n"/>
      <c r="W41" s="30" t="n"/>
      <c r="X41" s="31" t="n"/>
      <c r="Y41" s="31" t="n"/>
      <c r="Z41" s="33" t="n"/>
      <c r="AA41" s="33" t="n"/>
      <c r="AB41" s="33" t="n"/>
      <c r="AC41" s="33" t="n"/>
      <c r="AD41" s="33" t="n"/>
      <c r="AE41" s="32" t="n"/>
      <c r="AF41" s="42" t="n"/>
      <c r="AG41" s="42" t="n"/>
      <c r="AH41" s="43">
        <f>IF(AND(Z41&lt;&gt;"",AA41&lt;&gt;"",AB41&lt;&gt;""),Z41+AA41+AB41,"")</f>
        <v/>
      </c>
      <c r="AI41" s="43">
        <f>IF(AND(AND(Z41&lt;&gt;"",AA41&lt;&gt;"",AB41&lt;&gt;""),AC41&lt;&gt;""),AC41-(Z41+AA41+AB41),"")</f>
        <v/>
      </c>
      <c r="AJ41" s="30" t="n"/>
      <c r="AK41" s="30" t="n"/>
      <c r="AL41" s="32" t="n"/>
      <c r="AM41" s="30" t="n"/>
      <c r="AN41" s="30" t="n"/>
      <c r="AO41" s="30" t="n"/>
      <c r="AP41" s="30" t="n"/>
      <c r="AQ41" s="30" t="n"/>
      <c r="AR41" s="30" t="n"/>
      <c r="AS41" s="30" t="n"/>
      <c r="AT41" s="35">
        <f>IF(NOT(COUNTA(A41:AS41)&gt;0),"",IF(TEXTJOIN(", ",TRUE,IF(B41="","Название",""),IF(C41="","Тип недвижимости",""),IF(D41="","Страна",""),IF(E41="","Город",""),IF(F41="","Улица",""),IF(I41="","Валюта",""),IF(OR(AL41="",AL41&lt;1),"Хотя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земли",""),IF(OR(AQ41="",AQ41="Нет"),"Право собственности",""),IF(OR(AR41="",AR41="Нет"),"Справка об отсутствии обременений",""),IF(OR(X41="",X41&lt;=0),"Площадь участка проекта",""),IF(OR(Y41="",Y41&lt;=0),"Площадь строительства",""),IF(OR(Z41="",Z41&lt;0),"Стоимость участка",""),IF(OR(AA41="",AA41&lt;0),"Строительство",""),IF(OR(AB41="",AB41&lt;0),"Налоги и резерв",""),IF(OR(AC41="",AC41&lt;0),"Ожидаемая продажа",""),IF(OR(AD41="",AD41&lt;=0),"Капитал инвестора",""),IF(OR(AE41="",AE41&lt;=0,AE41&gt;600),"Срок в месяцах",""),IF(OR(AF41="",AF41&lt;0,AF41&gt;100),"Приоритетная доходность",""),IF(OR(AG41="",AG41&lt;0,AG41&gt;100),"Доля платформы",""),IF(AND(Z41&lt;&gt;"",AA41&lt;&gt;"",AB41&lt;&gt;"",AD41&lt;&gt;"",OR((Z41+AA41+AB41)&lt;=0,AD41&gt;(Z41+AA41+AB41))),"Капитал инвестора больше бюджета",""))="","",TEXTJOIN(", ",TRUE,IF(B41="","Название",""),IF(C41="","Тип недвижимости",""),IF(D41="","Страна",""),IF(E41="","Город",""),IF(F41="","Улица",""),IF(I41="","Валюта",""),IF(OR(AL41="",AL41&lt;1),"Хотя бы 1 фото",""),IF(AND(OR(C41="Квартира",C41="Апартаменты",C41="Дом",C41="Вилла",C41="Коммерческая"),J41=""),"Площадь",""),IF(AND(OR(C41="Квартира",C41="Апартаменты"),K41=""),"Жилая площадь",""),IF(AND(OR(C41="Дом",C41="Вилла",C41="Земля"),L41=""),"Площадь участка",""),IF(AND(OR(C41="Квартира",C41="Апартаменты"),M41=""),"Комнаты",""),IF(AND(OR(C41="Дом",C41="Вилла"),N41=""),"Спальни",""),IF(AND(OR(C41="Квартира",C41="Апартаменты",C41="Дом",C41="Вилла"),O41=""),"Ванные",""),IF(AND(OR(C41="Квартира",C41="Апартаменты"),P41=""),"Этаж",""),IF(AND(OR(OR(C41="Квартира",C41="Апартаменты"),OR(C41="Дом",C41="Вилла")),Q41=""),"Этажей",""),IF(AND(OR(OR(C41="Квартира",C41="Апартаменты"),OR(C41="Дом",C41="Вилла")),OR(R41="",R41&gt;YEAR(TODAY()))),"Год постройки",""),IF(AND(P41&lt;&gt;"",Q41&lt;&gt;"",P41&gt;Q41),"Этаж больше этажности",""),IF(AND(OR(C41="Квартира",C41="Апартаменты",C41="Дом",C41="Вилла"),S41=""),"Материал",""),IF(AND(OR(C41="Коммерческая"),U41=""),"Тип коммерции",""),IF(AND(OR(C41="Земля"),V41=""),"Назначение земли",""),IF(OR(AQ41="",AQ41="Нет"),"Право собственности",""),IF(OR(AR41="",AR41="Нет"),"Справка об отсутствии обременений",""),IF(OR(X41="",X41&lt;=0),"Площадь участка проекта",""),IF(OR(Y41="",Y41&lt;=0),"Площадь строительства",""),IF(OR(Z41="",Z41&lt;0),"Стоимость участка",""),IF(OR(AA41="",AA41&lt;0),"Строительство",""),IF(OR(AB41="",AB41&lt;0),"Налоги и резерв",""),IF(OR(AC41="",AC41&lt;0),"Ожидаемая продажа",""),IF(OR(AD41="",AD41&lt;=0),"Капитал инвестора",""),IF(OR(AE41="",AE41&lt;=0,AE41&gt;600),"Срок в месяцах",""),IF(OR(AF41="",AF41&lt;0,AF41&gt;100),"Приоритетная доходность",""),IF(OR(AG41="",AG41&lt;0,AG41&gt;100),"Доля платформы",""),IF(AND(Z41&lt;&gt;"",AA41&lt;&gt;"",AB41&lt;&gt;"",AD41&lt;&gt;"",OR((Z41+AA41+AB41)&lt;=0,AD41&gt;(Z41+AA41+AB41))),"Капитал инвестора больше бюджета",""))))</f>
        <v/>
      </c>
      <c r="AU41" s="35">
        <f>IF(NOT(COUNTA(A41:AS41)&gt;0),"",IF(TEXTJOIN(", ",TRUE,IF(AO41="","Описание",""),IF(AND(AL41&lt;&gt;"",AL41&gt;=1,AL41&lt;5),"Фото меньше 5",""),IF(AN41="","Видео",""),IF(H41="","Кадастровый номер",""),IF(AM41="","Ссылка на фото",""),IF(W41="","Цель продавца",""),IF(AJ41="","Лицензия",""),IF(AK41="","Допущения и источники",""))="","",TEXTJOIN(", ",TRUE,IF(AO41="","Описание",""),IF(AND(AL41&lt;&gt;"",AL41&gt;=1,AL41&lt;5),"Фото меньше 5",""),IF(AN41="","Видео",""),IF(H41="","Кадастровый номер",""),IF(AM41="","Ссылка на фото",""),IF(W41="","Цель продавца",""),IF(AJ41="","Лицензия",""),IF(AK41="","Допущения и источники",""))))</f>
        <v/>
      </c>
      <c r="AV41" s="35">
        <f>IF(NOT(COUNTA(A41:AS41)&gt;0),"",IF(AT41="","Можно публиковать","Не хватает"))</f>
        <v/>
      </c>
    </row>
    <row r="42" ht="22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7" t="n"/>
      <c r="K42" s="37" t="n"/>
      <c r="L42" s="37" t="n"/>
      <c r="M42" s="38" t="n"/>
      <c r="N42" s="38" t="n"/>
      <c r="O42" s="38" t="n"/>
      <c r="P42" s="38" t="n"/>
      <c r="Q42" s="38" t="n"/>
      <c r="R42" s="38" t="n"/>
      <c r="S42" s="36" t="n"/>
      <c r="T42" s="36" t="n"/>
      <c r="U42" s="36" t="n"/>
      <c r="V42" s="36" t="n"/>
      <c r="W42" s="36" t="n"/>
      <c r="X42" s="37" t="n"/>
      <c r="Y42" s="37" t="n"/>
      <c r="Z42" s="39" t="n"/>
      <c r="AA42" s="39" t="n"/>
      <c r="AB42" s="39" t="n"/>
      <c r="AC42" s="39" t="n"/>
      <c r="AD42" s="39" t="n"/>
      <c r="AE42" s="38" t="n"/>
      <c r="AF42" s="44" t="n"/>
      <c r="AG42" s="44" t="n"/>
      <c r="AH42" s="43">
        <f>IF(AND(Z42&lt;&gt;"",AA42&lt;&gt;"",AB42&lt;&gt;""),Z42+AA42+AB42,"")</f>
        <v/>
      </c>
      <c r="AI42" s="43">
        <f>IF(AND(AND(Z42&lt;&gt;"",AA42&lt;&gt;"",AB42&lt;&gt;""),AC42&lt;&gt;""),AC42-(Z42+AA42+AB42),"")</f>
        <v/>
      </c>
      <c r="AJ42" s="36" t="n"/>
      <c r="AK42" s="36" t="n"/>
      <c r="AL42" s="38" t="n"/>
      <c r="AM42" s="36" t="n"/>
      <c r="AN42" s="36" t="n"/>
      <c r="AO42" s="36" t="n"/>
      <c r="AP42" s="36" t="n"/>
      <c r="AQ42" s="36" t="n"/>
      <c r="AR42" s="36" t="n"/>
      <c r="AS42" s="36" t="n"/>
      <c r="AT42" s="35">
        <f>IF(NOT(COUNTA(A42:AS42)&gt;0),"",IF(TEXTJOIN(", ",TRUE,IF(B42="","Название",""),IF(C42="","Тип недвижимости",""),IF(D42="","Страна",""),IF(E42="","Город",""),IF(F42="","Улица",""),IF(I42="","Валюта",""),IF(OR(AL42="",AL42&lt;1),"Хотя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земли",""),IF(OR(AQ42="",AQ42="Нет"),"Право собственности",""),IF(OR(AR42="",AR42="Нет"),"Справка об отсутствии обременений",""),IF(OR(X42="",X42&lt;=0),"Площадь участка проекта",""),IF(OR(Y42="",Y42&lt;=0),"Площадь строительства",""),IF(OR(Z42="",Z42&lt;0),"Стоимость участка",""),IF(OR(AA42="",AA42&lt;0),"Строительство",""),IF(OR(AB42="",AB42&lt;0),"Налоги и резерв",""),IF(OR(AC42="",AC42&lt;0),"Ожидаемая продажа",""),IF(OR(AD42="",AD42&lt;=0),"Капитал инвестора",""),IF(OR(AE42="",AE42&lt;=0,AE42&gt;600),"Срок в месяцах",""),IF(OR(AF42="",AF42&lt;0,AF42&gt;100),"Приоритетная доходность",""),IF(OR(AG42="",AG42&lt;0,AG42&gt;100),"Доля платформы",""),IF(AND(Z42&lt;&gt;"",AA42&lt;&gt;"",AB42&lt;&gt;"",AD42&lt;&gt;"",OR((Z42+AA42+AB42)&lt;=0,AD42&gt;(Z42+AA42+AB42))),"Капитал инвестора больше бюджета",""))="","",TEXTJOIN(", ",TRUE,IF(B42="","Название",""),IF(C42="","Тип недвижимости",""),IF(D42="","Страна",""),IF(E42="","Город",""),IF(F42="","Улица",""),IF(I42="","Валюта",""),IF(OR(AL42="",AL42&lt;1),"Хотя бы 1 фото",""),IF(AND(OR(C42="Квартира",C42="Апартаменты",C42="Дом",C42="Вилла",C42="Коммерческая"),J42=""),"Площадь",""),IF(AND(OR(C42="Квартира",C42="Апартаменты"),K42=""),"Жилая площадь",""),IF(AND(OR(C42="Дом",C42="Вилла",C42="Земля"),L42=""),"Площадь участка",""),IF(AND(OR(C42="Квартира",C42="Апартаменты"),M42=""),"Комнаты",""),IF(AND(OR(C42="Дом",C42="Вилла"),N42=""),"Спальни",""),IF(AND(OR(C42="Квартира",C42="Апартаменты",C42="Дом",C42="Вилла"),O42=""),"Ванные",""),IF(AND(OR(C42="Квартира",C42="Апартаменты"),P42=""),"Этаж",""),IF(AND(OR(OR(C42="Квартира",C42="Апартаменты"),OR(C42="Дом",C42="Вилла")),Q42=""),"Этажей",""),IF(AND(OR(OR(C42="Квартира",C42="Апартаменты"),OR(C42="Дом",C42="Вилла")),OR(R42="",R42&gt;YEAR(TODAY()))),"Год постройки",""),IF(AND(P42&lt;&gt;"",Q42&lt;&gt;"",P42&gt;Q42),"Этаж больше этажности",""),IF(AND(OR(C42="Квартира",C42="Апартаменты",C42="Дом",C42="Вилла"),S42=""),"Материал",""),IF(AND(OR(C42="Коммерческая"),U42=""),"Тип коммерции",""),IF(AND(OR(C42="Земля"),V42=""),"Назначение земли",""),IF(OR(AQ42="",AQ42="Нет"),"Право собственности",""),IF(OR(AR42="",AR42="Нет"),"Справка об отсутствии обременений",""),IF(OR(X42="",X42&lt;=0),"Площадь участка проекта",""),IF(OR(Y42="",Y42&lt;=0),"Площадь строительства",""),IF(OR(Z42="",Z42&lt;0),"Стоимость участка",""),IF(OR(AA42="",AA42&lt;0),"Строительство",""),IF(OR(AB42="",AB42&lt;0),"Налоги и резерв",""),IF(OR(AC42="",AC42&lt;0),"Ожидаемая продажа",""),IF(OR(AD42="",AD42&lt;=0),"Капитал инвестора",""),IF(OR(AE42="",AE42&lt;=0,AE42&gt;600),"Срок в месяцах",""),IF(OR(AF42="",AF42&lt;0,AF42&gt;100),"Приоритетная доходность",""),IF(OR(AG42="",AG42&lt;0,AG42&gt;100),"Доля платформы",""),IF(AND(Z42&lt;&gt;"",AA42&lt;&gt;"",AB42&lt;&gt;"",AD42&lt;&gt;"",OR((Z42+AA42+AB42)&lt;=0,AD42&gt;(Z42+AA42+AB42))),"Капитал инвестора больше бюджета",""))))</f>
        <v/>
      </c>
      <c r="AU42" s="35">
        <f>IF(NOT(COUNTA(A42:AS42)&gt;0),"",IF(TEXTJOIN(", ",TRUE,IF(AO42="","Описание",""),IF(AND(AL42&lt;&gt;"",AL42&gt;=1,AL42&lt;5),"Фото меньше 5",""),IF(AN42="","Видео",""),IF(H42="","Кадастровый номер",""),IF(AM42="","Ссылка на фото",""),IF(W42="","Цель продавца",""),IF(AJ42="","Лицензия",""),IF(AK42="","Допущения и источники",""))="","",TEXTJOIN(", ",TRUE,IF(AO42="","Описание",""),IF(AND(AL42&lt;&gt;"",AL42&gt;=1,AL42&lt;5),"Фото меньше 5",""),IF(AN42="","Видео",""),IF(H42="","Кадастровый номер",""),IF(AM42="","Ссылка на фото",""),IF(W42="","Цель продавца",""),IF(AJ42="","Лицензия",""),IF(AK42="","Допущения и источники",""))))</f>
        <v/>
      </c>
      <c r="AV42" s="35">
        <f>IF(NOT(COUNTA(A42:AS42)&gt;0),"",IF(AT42="","Можно публиковать","Не хватает"))</f>
        <v/>
      </c>
    </row>
    <row r="43" ht="22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 t="n"/>
      <c r="K43" s="31" t="n"/>
      <c r="L43" s="31" t="n"/>
      <c r="M43" s="32" t="n"/>
      <c r="N43" s="32" t="n"/>
      <c r="O43" s="32" t="n"/>
      <c r="P43" s="32" t="n"/>
      <c r="Q43" s="32" t="n"/>
      <c r="R43" s="32" t="n"/>
      <c r="S43" s="30" t="n"/>
      <c r="T43" s="30" t="n"/>
      <c r="U43" s="30" t="n"/>
      <c r="V43" s="30" t="n"/>
      <c r="W43" s="30" t="n"/>
      <c r="X43" s="31" t="n"/>
      <c r="Y43" s="31" t="n"/>
      <c r="Z43" s="33" t="n"/>
      <c r="AA43" s="33" t="n"/>
      <c r="AB43" s="33" t="n"/>
      <c r="AC43" s="33" t="n"/>
      <c r="AD43" s="33" t="n"/>
      <c r="AE43" s="32" t="n"/>
      <c r="AF43" s="42" t="n"/>
      <c r="AG43" s="42" t="n"/>
      <c r="AH43" s="43">
        <f>IF(AND(Z43&lt;&gt;"",AA43&lt;&gt;"",AB43&lt;&gt;""),Z43+AA43+AB43,"")</f>
        <v/>
      </c>
      <c r="AI43" s="43">
        <f>IF(AND(AND(Z43&lt;&gt;"",AA43&lt;&gt;"",AB43&lt;&gt;""),AC43&lt;&gt;""),AC43-(Z43+AA43+AB43),"")</f>
        <v/>
      </c>
      <c r="AJ43" s="30" t="n"/>
      <c r="AK43" s="30" t="n"/>
      <c r="AL43" s="32" t="n"/>
      <c r="AM43" s="30" t="n"/>
      <c r="AN43" s="30" t="n"/>
      <c r="AO43" s="30" t="n"/>
      <c r="AP43" s="30" t="n"/>
      <c r="AQ43" s="30" t="n"/>
      <c r="AR43" s="30" t="n"/>
      <c r="AS43" s="30" t="n"/>
      <c r="AT43" s="35">
        <f>IF(NOT(COUNTA(A43:AS43)&gt;0),"",IF(TEXTJOIN(", ",TRUE,IF(B43="","Название",""),IF(C43="","Тип недвижимости",""),IF(D43="","Страна",""),IF(E43="","Город",""),IF(F43="","Улица",""),IF(I43="","Валюта",""),IF(OR(AL43="",AL43&lt;1),"Хотя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земли",""),IF(OR(AQ43="",AQ43="Нет"),"Право собственности",""),IF(OR(AR43="",AR43="Нет"),"Справка об отсутствии обременений",""),IF(OR(X43="",X43&lt;=0),"Площадь участка проекта",""),IF(OR(Y43="",Y43&lt;=0),"Площадь строительства",""),IF(OR(Z43="",Z43&lt;0),"Стоимость участка",""),IF(OR(AA43="",AA43&lt;0),"Строительство",""),IF(OR(AB43="",AB43&lt;0),"Налоги и резерв",""),IF(OR(AC43="",AC43&lt;0),"Ожидаемая продажа",""),IF(OR(AD43="",AD43&lt;=0),"Капитал инвестора",""),IF(OR(AE43="",AE43&lt;=0,AE43&gt;600),"Срок в месяцах",""),IF(OR(AF43="",AF43&lt;0,AF43&gt;100),"Приоритетная доходность",""),IF(OR(AG43="",AG43&lt;0,AG43&gt;100),"Доля платформы",""),IF(AND(Z43&lt;&gt;"",AA43&lt;&gt;"",AB43&lt;&gt;"",AD43&lt;&gt;"",OR((Z43+AA43+AB43)&lt;=0,AD43&gt;(Z43+AA43+AB43))),"Капитал инвестора больше бюджета",""))="","",TEXTJOIN(", ",TRUE,IF(B43="","Название",""),IF(C43="","Тип недвижимости",""),IF(D43="","Страна",""),IF(E43="","Город",""),IF(F43="","Улица",""),IF(I43="","Валюта",""),IF(OR(AL43="",AL43&lt;1),"Хотя бы 1 фото",""),IF(AND(OR(C43="Квартира",C43="Апартаменты",C43="Дом",C43="Вилла",C43="Коммерческая"),J43=""),"Площадь",""),IF(AND(OR(C43="Квартира",C43="Апартаменты"),K43=""),"Жилая площадь",""),IF(AND(OR(C43="Дом",C43="Вилла",C43="Земля"),L43=""),"Площадь участка",""),IF(AND(OR(C43="Квартира",C43="Апартаменты"),M43=""),"Комнаты",""),IF(AND(OR(C43="Дом",C43="Вилла"),N43=""),"Спальни",""),IF(AND(OR(C43="Квартира",C43="Апартаменты",C43="Дом",C43="Вилла"),O43=""),"Ванные",""),IF(AND(OR(C43="Квартира",C43="Апартаменты"),P43=""),"Этаж",""),IF(AND(OR(OR(C43="Квартира",C43="Апартаменты"),OR(C43="Дом",C43="Вилла")),Q43=""),"Этажей",""),IF(AND(OR(OR(C43="Квартира",C43="Апартаменты"),OR(C43="Дом",C43="Вилла")),OR(R43="",R43&gt;YEAR(TODAY()))),"Год постройки",""),IF(AND(P43&lt;&gt;"",Q43&lt;&gt;"",P43&gt;Q43),"Этаж больше этажности",""),IF(AND(OR(C43="Квартира",C43="Апартаменты",C43="Дом",C43="Вилла"),S43=""),"Материал",""),IF(AND(OR(C43="Коммерческая"),U43=""),"Тип коммерции",""),IF(AND(OR(C43="Земля"),V43=""),"Назначение земли",""),IF(OR(AQ43="",AQ43="Нет"),"Право собственности",""),IF(OR(AR43="",AR43="Нет"),"Справка об отсутствии обременений",""),IF(OR(X43="",X43&lt;=0),"Площадь участка проекта",""),IF(OR(Y43="",Y43&lt;=0),"Площадь строительства",""),IF(OR(Z43="",Z43&lt;0),"Стоимость участка",""),IF(OR(AA43="",AA43&lt;0),"Строительство",""),IF(OR(AB43="",AB43&lt;0),"Налоги и резерв",""),IF(OR(AC43="",AC43&lt;0),"Ожидаемая продажа",""),IF(OR(AD43="",AD43&lt;=0),"Капитал инвестора",""),IF(OR(AE43="",AE43&lt;=0,AE43&gt;600),"Срок в месяцах",""),IF(OR(AF43="",AF43&lt;0,AF43&gt;100),"Приоритетная доходность",""),IF(OR(AG43="",AG43&lt;0,AG43&gt;100),"Доля платформы",""),IF(AND(Z43&lt;&gt;"",AA43&lt;&gt;"",AB43&lt;&gt;"",AD43&lt;&gt;"",OR((Z43+AA43+AB43)&lt;=0,AD43&gt;(Z43+AA43+AB43))),"Капитал инвестора больше бюджета",""))))</f>
        <v/>
      </c>
      <c r="AU43" s="35">
        <f>IF(NOT(COUNTA(A43:AS43)&gt;0),"",IF(TEXTJOIN(", ",TRUE,IF(AO43="","Описание",""),IF(AND(AL43&lt;&gt;"",AL43&gt;=1,AL43&lt;5),"Фото меньше 5",""),IF(AN43="","Видео",""),IF(H43="","Кадастровый номер",""),IF(AM43="","Ссылка на фото",""),IF(W43="","Цель продавца",""),IF(AJ43="","Лицензия",""),IF(AK43="","Допущения и источники",""))="","",TEXTJOIN(", ",TRUE,IF(AO43="","Описание",""),IF(AND(AL43&lt;&gt;"",AL43&gt;=1,AL43&lt;5),"Фото меньше 5",""),IF(AN43="","Видео",""),IF(H43="","Кадастровый номер",""),IF(AM43="","Ссылка на фото",""),IF(W43="","Цель продавца",""),IF(AJ43="","Лицензия",""),IF(AK43="","Допущения и источники",""))))</f>
        <v/>
      </c>
      <c r="AV43" s="35">
        <f>IF(NOT(COUNTA(A43:AS43)&gt;0),"",IF(AT43="","Можно публиковать","Не хватает"))</f>
        <v/>
      </c>
    </row>
    <row r="44" ht="22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7" t="n"/>
      <c r="K44" s="37" t="n"/>
      <c r="L44" s="37" t="n"/>
      <c r="M44" s="38" t="n"/>
      <c r="N44" s="38" t="n"/>
      <c r="O44" s="38" t="n"/>
      <c r="P44" s="38" t="n"/>
      <c r="Q44" s="38" t="n"/>
      <c r="R44" s="38" t="n"/>
      <c r="S44" s="36" t="n"/>
      <c r="T44" s="36" t="n"/>
      <c r="U44" s="36" t="n"/>
      <c r="V44" s="36" t="n"/>
      <c r="W44" s="36" t="n"/>
      <c r="X44" s="37" t="n"/>
      <c r="Y44" s="37" t="n"/>
      <c r="Z44" s="39" t="n"/>
      <c r="AA44" s="39" t="n"/>
      <c r="AB44" s="39" t="n"/>
      <c r="AC44" s="39" t="n"/>
      <c r="AD44" s="39" t="n"/>
      <c r="AE44" s="38" t="n"/>
      <c r="AF44" s="44" t="n"/>
      <c r="AG44" s="44" t="n"/>
      <c r="AH44" s="43">
        <f>IF(AND(Z44&lt;&gt;"",AA44&lt;&gt;"",AB44&lt;&gt;""),Z44+AA44+AB44,"")</f>
        <v/>
      </c>
      <c r="AI44" s="43">
        <f>IF(AND(AND(Z44&lt;&gt;"",AA44&lt;&gt;"",AB44&lt;&gt;""),AC44&lt;&gt;""),AC44-(Z44+AA44+AB44),"")</f>
        <v/>
      </c>
      <c r="AJ44" s="36" t="n"/>
      <c r="AK44" s="36" t="n"/>
      <c r="AL44" s="38" t="n"/>
      <c r="AM44" s="36" t="n"/>
      <c r="AN44" s="36" t="n"/>
      <c r="AO44" s="36" t="n"/>
      <c r="AP44" s="36" t="n"/>
      <c r="AQ44" s="36" t="n"/>
      <c r="AR44" s="36" t="n"/>
      <c r="AS44" s="36" t="n"/>
      <c r="AT44" s="35">
        <f>IF(NOT(COUNTA(A44:AS44)&gt;0),"",IF(TEXTJOIN(", ",TRUE,IF(B44="","Название",""),IF(C44="","Тип недвижимости",""),IF(D44="","Страна",""),IF(E44="","Город",""),IF(F44="","Улица",""),IF(I44="","Валюта",""),IF(OR(AL44="",AL44&lt;1),"Хотя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земли",""),IF(OR(AQ44="",AQ44="Нет"),"Право собственности",""),IF(OR(AR44="",AR44="Нет"),"Справка об отсутствии обременений",""),IF(OR(X44="",X44&lt;=0),"Площадь участка проекта",""),IF(OR(Y44="",Y44&lt;=0),"Площадь строительства",""),IF(OR(Z44="",Z44&lt;0),"Стоимость участка",""),IF(OR(AA44="",AA44&lt;0),"Строительство",""),IF(OR(AB44="",AB44&lt;0),"Налоги и резерв",""),IF(OR(AC44="",AC44&lt;0),"Ожидаемая продажа",""),IF(OR(AD44="",AD44&lt;=0),"Капитал инвестора",""),IF(OR(AE44="",AE44&lt;=0,AE44&gt;600),"Срок в месяцах",""),IF(OR(AF44="",AF44&lt;0,AF44&gt;100),"Приоритетная доходность",""),IF(OR(AG44="",AG44&lt;0,AG44&gt;100),"Доля платформы",""),IF(AND(Z44&lt;&gt;"",AA44&lt;&gt;"",AB44&lt;&gt;"",AD44&lt;&gt;"",OR((Z44+AA44+AB44)&lt;=0,AD44&gt;(Z44+AA44+AB44))),"Капитал инвестора больше бюджета",""))="","",TEXTJOIN(", ",TRUE,IF(B44="","Название",""),IF(C44="","Тип недвижимости",""),IF(D44="","Страна",""),IF(E44="","Город",""),IF(F44="","Улица",""),IF(I44="","Валюта",""),IF(OR(AL44="",AL44&lt;1),"Хотя бы 1 фото",""),IF(AND(OR(C44="Квартира",C44="Апартаменты",C44="Дом",C44="Вилла",C44="Коммерческая"),J44=""),"Площадь",""),IF(AND(OR(C44="Квартира",C44="Апартаменты"),K44=""),"Жилая площадь",""),IF(AND(OR(C44="Дом",C44="Вилла",C44="Земля"),L44=""),"Площадь участка",""),IF(AND(OR(C44="Квартира",C44="Апартаменты"),M44=""),"Комнаты",""),IF(AND(OR(C44="Дом",C44="Вилла"),N44=""),"Спальни",""),IF(AND(OR(C44="Квартира",C44="Апартаменты",C44="Дом",C44="Вилла"),O44=""),"Ванные",""),IF(AND(OR(C44="Квартира",C44="Апартаменты"),P44=""),"Этаж",""),IF(AND(OR(OR(C44="Квартира",C44="Апартаменты"),OR(C44="Дом",C44="Вилла")),Q44=""),"Этажей",""),IF(AND(OR(OR(C44="Квартира",C44="Апартаменты"),OR(C44="Дом",C44="Вилла")),OR(R44="",R44&gt;YEAR(TODAY()))),"Год постройки",""),IF(AND(P44&lt;&gt;"",Q44&lt;&gt;"",P44&gt;Q44),"Этаж больше этажности",""),IF(AND(OR(C44="Квартира",C44="Апартаменты",C44="Дом",C44="Вилла"),S44=""),"Материал",""),IF(AND(OR(C44="Коммерческая"),U44=""),"Тип коммерции",""),IF(AND(OR(C44="Земля"),V44=""),"Назначение земли",""),IF(OR(AQ44="",AQ44="Нет"),"Право собственности",""),IF(OR(AR44="",AR44="Нет"),"Справка об отсутствии обременений",""),IF(OR(X44="",X44&lt;=0),"Площадь участка проекта",""),IF(OR(Y44="",Y44&lt;=0),"Площадь строительства",""),IF(OR(Z44="",Z44&lt;0),"Стоимость участка",""),IF(OR(AA44="",AA44&lt;0),"Строительство",""),IF(OR(AB44="",AB44&lt;0),"Налоги и резерв",""),IF(OR(AC44="",AC44&lt;0),"Ожидаемая продажа",""),IF(OR(AD44="",AD44&lt;=0),"Капитал инвестора",""),IF(OR(AE44="",AE44&lt;=0,AE44&gt;600),"Срок в месяцах",""),IF(OR(AF44="",AF44&lt;0,AF44&gt;100),"Приоритетная доходность",""),IF(OR(AG44="",AG44&lt;0,AG44&gt;100),"Доля платформы",""),IF(AND(Z44&lt;&gt;"",AA44&lt;&gt;"",AB44&lt;&gt;"",AD44&lt;&gt;"",OR((Z44+AA44+AB44)&lt;=0,AD44&gt;(Z44+AA44+AB44))),"Капитал инвестора больше бюджета",""))))</f>
        <v/>
      </c>
      <c r="AU44" s="35">
        <f>IF(NOT(COUNTA(A44:AS44)&gt;0),"",IF(TEXTJOIN(", ",TRUE,IF(AO44="","Описание",""),IF(AND(AL44&lt;&gt;"",AL44&gt;=1,AL44&lt;5),"Фото меньше 5",""),IF(AN44="","Видео",""),IF(H44="","Кадастровый номер",""),IF(AM44="","Ссылка на фото",""),IF(W44="","Цель продавца",""),IF(AJ44="","Лицензия",""),IF(AK44="","Допущения и источники",""))="","",TEXTJOIN(", ",TRUE,IF(AO44="","Описание",""),IF(AND(AL44&lt;&gt;"",AL44&gt;=1,AL44&lt;5),"Фото меньше 5",""),IF(AN44="","Видео",""),IF(H44="","Кадастровый номер",""),IF(AM44="","Ссылка на фото",""),IF(W44="","Цель продавца",""),IF(AJ44="","Лицензия",""),IF(AK44="","Допущения и источники",""))))</f>
        <v/>
      </c>
      <c r="AV44" s="35">
        <f>IF(NOT(COUNTA(A44:AS44)&gt;0),"",IF(AT44="","Можно публиковать","Не хватает"))</f>
        <v/>
      </c>
    </row>
    <row r="45" ht="22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31" t="n"/>
      <c r="L45" s="31" t="n"/>
      <c r="M45" s="32" t="n"/>
      <c r="N45" s="32" t="n"/>
      <c r="O45" s="32" t="n"/>
      <c r="P45" s="32" t="n"/>
      <c r="Q45" s="32" t="n"/>
      <c r="R45" s="32" t="n"/>
      <c r="S45" s="30" t="n"/>
      <c r="T45" s="30" t="n"/>
      <c r="U45" s="30" t="n"/>
      <c r="V45" s="30" t="n"/>
      <c r="W45" s="30" t="n"/>
      <c r="X45" s="31" t="n"/>
      <c r="Y45" s="31" t="n"/>
      <c r="Z45" s="33" t="n"/>
      <c r="AA45" s="33" t="n"/>
      <c r="AB45" s="33" t="n"/>
      <c r="AC45" s="33" t="n"/>
      <c r="AD45" s="33" t="n"/>
      <c r="AE45" s="32" t="n"/>
      <c r="AF45" s="42" t="n"/>
      <c r="AG45" s="42" t="n"/>
      <c r="AH45" s="43">
        <f>IF(AND(Z45&lt;&gt;"",AA45&lt;&gt;"",AB45&lt;&gt;""),Z45+AA45+AB45,"")</f>
        <v/>
      </c>
      <c r="AI45" s="43">
        <f>IF(AND(AND(Z45&lt;&gt;"",AA45&lt;&gt;"",AB45&lt;&gt;""),AC45&lt;&gt;""),AC45-(Z45+AA45+AB45),"")</f>
        <v/>
      </c>
      <c r="AJ45" s="30" t="n"/>
      <c r="AK45" s="30" t="n"/>
      <c r="AL45" s="32" t="n"/>
      <c r="AM45" s="30" t="n"/>
      <c r="AN45" s="30" t="n"/>
      <c r="AO45" s="30" t="n"/>
      <c r="AP45" s="30" t="n"/>
      <c r="AQ45" s="30" t="n"/>
      <c r="AR45" s="30" t="n"/>
      <c r="AS45" s="30" t="n"/>
      <c r="AT45" s="35">
        <f>IF(NOT(COUNTA(A45:AS45)&gt;0),"",IF(TEXTJOIN(", ",TRUE,IF(B45="","Название",""),IF(C45="","Тип недвижимости",""),IF(D45="","Страна",""),IF(E45="","Город",""),IF(F45="","Улица",""),IF(I45="","Валюта",""),IF(OR(AL45="",AL45&lt;1),"Хотя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земли",""),IF(OR(AQ45="",AQ45="Нет"),"Право собственности",""),IF(OR(AR45="",AR45="Нет"),"Справка об отсутствии обременений",""),IF(OR(X45="",X45&lt;=0),"Площадь участка проекта",""),IF(OR(Y45="",Y45&lt;=0),"Площадь строительства",""),IF(OR(Z45="",Z45&lt;0),"Стоимость участка",""),IF(OR(AA45="",AA45&lt;0),"Строительство",""),IF(OR(AB45="",AB45&lt;0),"Налоги и резерв",""),IF(OR(AC45="",AC45&lt;0),"Ожидаемая продажа",""),IF(OR(AD45="",AD45&lt;=0),"Капитал инвестора",""),IF(OR(AE45="",AE45&lt;=0,AE45&gt;600),"Срок в месяцах",""),IF(OR(AF45="",AF45&lt;0,AF45&gt;100),"Приоритетная доходность",""),IF(OR(AG45="",AG45&lt;0,AG45&gt;100),"Доля платформы",""),IF(AND(Z45&lt;&gt;"",AA45&lt;&gt;"",AB45&lt;&gt;"",AD45&lt;&gt;"",OR((Z45+AA45+AB45)&lt;=0,AD45&gt;(Z45+AA45+AB45))),"Капитал инвестора больше бюджета",""))="","",TEXTJOIN(", ",TRUE,IF(B45="","Название",""),IF(C45="","Тип недвижимости",""),IF(D45="","Страна",""),IF(E45="","Город",""),IF(F45="","Улица",""),IF(I45="","Валюта",""),IF(OR(AL45="",AL45&lt;1),"Хотя бы 1 фото",""),IF(AND(OR(C45="Квартира",C45="Апартаменты",C45="Дом",C45="Вилла",C45="Коммерческая"),J45=""),"Площадь",""),IF(AND(OR(C45="Квартира",C45="Апартаменты"),K45=""),"Жилая площадь",""),IF(AND(OR(C45="Дом",C45="Вилла",C45="Земля"),L45=""),"Площадь участка",""),IF(AND(OR(C45="Квартира",C45="Апартаменты"),M45=""),"Комнаты",""),IF(AND(OR(C45="Дом",C45="Вилла"),N45=""),"Спальни",""),IF(AND(OR(C45="Квартира",C45="Апартаменты",C45="Дом",C45="Вилла"),O45=""),"Ванные",""),IF(AND(OR(C45="Квартира",C45="Апартаменты"),P45=""),"Этаж",""),IF(AND(OR(OR(C45="Квартира",C45="Апартаменты"),OR(C45="Дом",C45="Вилла")),Q45=""),"Этажей",""),IF(AND(OR(OR(C45="Квартира",C45="Апартаменты"),OR(C45="Дом",C45="Вилла")),OR(R45="",R45&gt;YEAR(TODAY()))),"Год постройки",""),IF(AND(P45&lt;&gt;"",Q45&lt;&gt;"",P45&gt;Q45),"Этаж больше этажности",""),IF(AND(OR(C45="Квартира",C45="Апартаменты",C45="Дом",C45="Вилла"),S45=""),"Материал",""),IF(AND(OR(C45="Коммерческая"),U45=""),"Тип коммерции",""),IF(AND(OR(C45="Земля"),V45=""),"Назначение земли",""),IF(OR(AQ45="",AQ45="Нет"),"Право собственности",""),IF(OR(AR45="",AR45="Нет"),"Справка об отсутствии обременений",""),IF(OR(X45="",X45&lt;=0),"Площадь участка проекта",""),IF(OR(Y45="",Y45&lt;=0),"Площадь строительства",""),IF(OR(Z45="",Z45&lt;0),"Стоимость участка",""),IF(OR(AA45="",AA45&lt;0),"Строительство",""),IF(OR(AB45="",AB45&lt;0),"Налоги и резерв",""),IF(OR(AC45="",AC45&lt;0),"Ожидаемая продажа",""),IF(OR(AD45="",AD45&lt;=0),"Капитал инвестора",""),IF(OR(AE45="",AE45&lt;=0,AE45&gt;600),"Срок в месяцах",""),IF(OR(AF45="",AF45&lt;0,AF45&gt;100),"Приоритетная доходность",""),IF(OR(AG45="",AG45&lt;0,AG45&gt;100),"Доля платформы",""),IF(AND(Z45&lt;&gt;"",AA45&lt;&gt;"",AB45&lt;&gt;"",AD45&lt;&gt;"",OR((Z45+AA45+AB45)&lt;=0,AD45&gt;(Z45+AA45+AB45))),"Капитал инвестора больше бюджета",""))))</f>
        <v/>
      </c>
      <c r="AU45" s="35">
        <f>IF(NOT(COUNTA(A45:AS45)&gt;0),"",IF(TEXTJOIN(", ",TRUE,IF(AO45="","Описание",""),IF(AND(AL45&lt;&gt;"",AL45&gt;=1,AL45&lt;5),"Фото меньше 5",""),IF(AN45="","Видео",""),IF(H45="","Кадастровый номер",""),IF(AM45="","Ссылка на фото",""),IF(W45="","Цель продавца",""),IF(AJ45="","Лицензия",""),IF(AK45="","Допущения и источники",""))="","",TEXTJOIN(", ",TRUE,IF(AO45="","Описание",""),IF(AND(AL45&lt;&gt;"",AL45&gt;=1,AL45&lt;5),"Фото меньше 5",""),IF(AN45="","Видео",""),IF(H45="","Кадастровый номер",""),IF(AM45="","Ссылка на фото",""),IF(W45="","Цель продавца",""),IF(AJ45="","Лицензия",""),IF(AK45="","Допущения и источники",""))))</f>
        <v/>
      </c>
      <c r="AV45" s="35">
        <f>IF(NOT(COUNTA(A45:AS45)&gt;0),"",IF(AT45="","Можно публиковать","Не хватает"))</f>
        <v/>
      </c>
    </row>
    <row r="46" ht="22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7" t="n"/>
      <c r="K46" s="37" t="n"/>
      <c r="L46" s="37" t="n"/>
      <c r="M46" s="38" t="n"/>
      <c r="N46" s="38" t="n"/>
      <c r="O46" s="38" t="n"/>
      <c r="P46" s="38" t="n"/>
      <c r="Q46" s="38" t="n"/>
      <c r="R46" s="38" t="n"/>
      <c r="S46" s="36" t="n"/>
      <c r="T46" s="36" t="n"/>
      <c r="U46" s="36" t="n"/>
      <c r="V46" s="36" t="n"/>
      <c r="W46" s="36" t="n"/>
      <c r="X46" s="37" t="n"/>
      <c r="Y46" s="37" t="n"/>
      <c r="Z46" s="39" t="n"/>
      <c r="AA46" s="39" t="n"/>
      <c r="AB46" s="39" t="n"/>
      <c r="AC46" s="39" t="n"/>
      <c r="AD46" s="39" t="n"/>
      <c r="AE46" s="38" t="n"/>
      <c r="AF46" s="44" t="n"/>
      <c r="AG46" s="44" t="n"/>
      <c r="AH46" s="43">
        <f>IF(AND(Z46&lt;&gt;"",AA46&lt;&gt;"",AB46&lt;&gt;""),Z46+AA46+AB46,"")</f>
        <v/>
      </c>
      <c r="AI46" s="43">
        <f>IF(AND(AND(Z46&lt;&gt;"",AA46&lt;&gt;"",AB46&lt;&gt;""),AC46&lt;&gt;""),AC46-(Z46+AA46+AB46),"")</f>
        <v/>
      </c>
      <c r="AJ46" s="36" t="n"/>
      <c r="AK46" s="36" t="n"/>
      <c r="AL46" s="38" t="n"/>
      <c r="AM46" s="36" t="n"/>
      <c r="AN46" s="36" t="n"/>
      <c r="AO46" s="36" t="n"/>
      <c r="AP46" s="36" t="n"/>
      <c r="AQ46" s="36" t="n"/>
      <c r="AR46" s="36" t="n"/>
      <c r="AS46" s="36" t="n"/>
      <c r="AT46" s="35">
        <f>IF(NOT(COUNTA(A46:AS46)&gt;0),"",IF(TEXTJOIN(", ",TRUE,IF(B46="","Название",""),IF(C46="","Тип недвижимости",""),IF(D46="","Страна",""),IF(E46="","Город",""),IF(F46="","Улица",""),IF(I46="","Валюта",""),IF(OR(AL46="",AL46&lt;1),"Хотя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земли",""),IF(OR(AQ46="",AQ46="Нет"),"Право собственности",""),IF(OR(AR46="",AR46="Нет"),"Справка об отсутствии обременений",""),IF(OR(X46="",X46&lt;=0),"Площадь участка проекта",""),IF(OR(Y46="",Y46&lt;=0),"Площадь строительства",""),IF(OR(Z46="",Z46&lt;0),"Стоимость участка",""),IF(OR(AA46="",AA46&lt;0),"Строительство",""),IF(OR(AB46="",AB46&lt;0),"Налоги и резерв",""),IF(OR(AC46="",AC46&lt;0),"Ожидаемая продажа",""),IF(OR(AD46="",AD46&lt;=0),"Капитал инвестора",""),IF(OR(AE46="",AE46&lt;=0,AE46&gt;600),"Срок в месяцах",""),IF(OR(AF46="",AF46&lt;0,AF46&gt;100),"Приоритетная доходность",""),IF(OR(AG46="",AG46&lt;0,AG46&gt;100),"Доля платформы",""),IF(AND(Z46&lt;&gt;"",AA46&lt;&gt;"",AB46&lt;&gt;"",AD46&lt;&gt;"",OR((Z46+AA46+AB46)&lt;=0,AD46&gt;(Z46+AA46+AB46))),"Капитал инвестора больше бюджета",""))="","",TEXTJOIN(", ",TRUE,IF(B46="","Название",""),IF(C46="","Тип недвижимости",""),IF(D46="","Страна",""),IF(E46="","Город",""),IF(F46="","Улица",""),IF(I46="","Валюта",""),IF(OR(AL46="",AL46&lt;1),"Хотя бы 1 фото",""),IF(AND(OR(C46="Квартира",C46="Апартаменты",C46="Дом",C46="Вилла",C46="Коммерческая"),J46=""),"Площадь",""),IF(AND(OR(C46="Квартира",C46="Апартаменты"),K46=""),"Жилая площадь",""),IF(AND(OR(C46="Дом",C46="Вилла",C46="Земля"),L46=""),"Площадь участка",""),IF(AND(OR(C46="Квартира",C46="Апартаменты"),M46=""),"Комнаты",""),IF(AND(OR(C46="Дом",C46="Вилла"),N46=""),"Спальни",""),IF(AND(OR(C46="Квартира",C46="Апартаменты",C46="Дом",C46="Вилла"),O46=""),"Ванные",""),IF(AND(OR(C46="Квартира",C46="Апартаменты"),P46=""),"Этаж",""),IF(AND(OR(OR(C46="Квартира",C46="Апартаменты"),OR(C46="Дом",C46="Вилла")),Q46=""),"Этажей",""),IF(AND(OR(OR(C46="Квартира",C46="Апартаменты"),OR(C46="Дом",C46="Вилла")),OR(R46="",R46&gt;YEAR(TODAY()))),"Год постройки",""),IF(AND(P46&lt;&gt;"",Q46&lt;&gt;"",P46&gt;Q46),"Этаж больше этажности",""),IF(AND(OR(C46="Квартира",C46="Апартаменты",C46="Дом",C46="Вилла"),S46=""),"Материал",""),IF(AND(OR(C46="Коммерческая"),U46=""),"Тип коммерции",""),IF(AND(OR(C46="Земля"),V46=""),"Назначение земли",""),IF(OR(AQ46="",AQ46="Нет"),"Право собственности",""),IF(OR(AR46="",AR46="Нет"),"Справка об отсутствии обременений",""),IF(OR(X46="",X46&lt;=0),"Площадь участка проекта",""),IF(OR(Y46="",Y46&lt;=0),"Площадь строительства",""),IF(OR(Z46="",Z46&lt;0),"Стоимость участка",""),IF(OR(AA46="",AA46&lt;0),"Строительство",""),IF(OR(AB46="",AB46&lt;0),"Налоги и резерв",""),IF(OR(AC46="",AC46&lt;0),"Ожидаемая продажа",""),IF(OR(AD46="",AD46&lt;=0),"Капитал инвестора",""),IF(OR(AE46="",AE46&lt;=0,AE46&gt;600),"Срок в месяцах",""),IF(OR(AF46="",AF46&lt;0,AF46&gt;100),"Приоритетная доходность",""),IF(OR(AG46="",AG46&lt;0,AG46&gt;100),"Доля платформы",""),IF(AND(Z46&lt;&gt;"",AA46&lt;&gt;"",AB46&lt;&gt;"",AD46&lt;&gt;"",OR((Z46+AA46+AB46)&lt;=0,AD46&gt;(Z46+AA46+AB46))),"Капитал инвестора больше бюджета",""))))</f>
        <v/>
      </c>
      <c r="AU46" s="35">
        <f>IF(NOT(COUNTA(A46:AS46)&gt;0),"",IF(TEXTJOIN(", ",TRUE,IF(AO46="","Описание",""),IF(AND(AL46&lt;&gt;"",AL46&gt;=1,AL46&lt;5),"Фото меньше 5",""),IF(AN46="","Видео",""),IF(H46="","Кадастровый номер",""),IF(AM46="","Ссылка на фото",""),IF(W46="","Цель продавца",""),IF(AJ46="","Лицензия",""),IF(AK46="","Допущения и источники",""))="","",TEXTJOIN(", ",TRUE,IF(AO46="","Описание",""),IF(AND(AL46&lt;&gt;"",AL46&gt;=1,AL46&lt;5),"Фото меньше 5",""),IF(AN46="","Видео",""),IF(H46="","Кадастровый номер",""),IF(AM46="","Ссылка на фото",""),IF(W46="","Цель продавца",""),IF(AJ46="","Лицензия",""),IF(AK46="","Допущения и источники",""))))</f>
        <v/>
      </c>
      <c r="AV46" s="35">
        <f>IF(NOT(COUNTA(A46:AS46)&gt;0),"",IF(AT46="","Можно публиковать","Не хватает"))</f>
        <v/>
      </c>
    </row>
    <row r="47" ht="22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 t="n"/>
      <c r="K47" s="31" t="n"/>
      <c r="L47" s="31" t="n"/>
      <c r="M47" s="32" t="n"/>
      <c r="N47" s="32" t="n"/>
      <c r="O47" s="32" t="n"/>
      <c r="P47" s="32" t="n"/>
      <c r="Q47" s="32" t="n"/>
      <c r="R47" s="32" t="n"/>
      <c r="S47" s="30" t="n"/>
      <c r="T47" s="30" t="n"/>
      <c r="U47" s="30" t="n"/>
      <c r="V47" s="30" t="n"/>
      <c r="W47" s="30" t="n"/>
      <c r="X47" s="31" t="n"/>
      <c r="Y47" s="31" t="n"/>
      <c r="Z47" s="33" t="n"/>
      <c r="AA47" s="33" t="n"/>
      <c r="AB47" s="33" t="n"/>
      <c r="AC47" s="33" t="n"/>
      <c r="AD47" s="33" t="n"/>
      <c r="AE47" s="32" t="n"/>
      <c r="AF47" s="42" t="n"/>
      <c r="AG47" s="42" t="n"/>
      <c r="AH47" s="43">
        <f>IF(AND(Z47&lt;&gt;"",AA47&lt;&gt;"",AB47&lt;&gt;""),Z47+AA47+AB47,"")</f>
        <v/>
      </c>
      <c r="AI47" s="43">
        <f>IF(AND(AND(Z47&lt;&gt;"",AA47&lt;&gt;"",AB47&lt;&gt;""),AC47&lt;&gt;""),AC47-(Z47+AA47+AB47),"")</f>
        <v/>
      </c>
      <c r="AJ47" s="30" t="n"/>
      <c r="AK47" s="30" t="n"/>
      <c r="AL47" s="32" t="n"/>
      <c r="AM47" s="30" t="n"/>
      <c r="AN47" s="30" t="n"/>
      <c r="AO47" s="30" t="n"/>
      <c r="AP47" s="30" t="n"/>
      <c r="AQ47" s="30" t="n"/>
      <c r="AR47" s="30" t="n"/>
      <c r="AS47" s="30" t="n"/>
      <c r="AT47" s="35">
        <f>IF(NOT(COUNTA(A47:AS47)&gt;0),"",IF(TEXTJOIN(", ",TRUE,IF(B47="","Название",""),IF(C47="","Тип недвижимости",""),IF(D47="","Страна",""),IF(E47="","Город",""),IF(F47="","Улица",""),IF(I47="","Валюта",""),IF(OR(AL47="",AL47&lt;1),"Хотя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земли",""),IF(OR(AQ47="",AQ47="Нет"),"Право собственности",""),IF(OR(AR47="",AR47="Нет"),"Справка об отсутствии обременений",""),IF(OR(X47="",X47&lt;=0),"Площадь участка проекта",""),IF(OR(Y47="",Y47&lt;=0),"Площадь строительства",""),IF(OR(Z47="",Z47&lt;0),"Стоимость участка",""),IF(OR(AA47="",AA47&lt;0),"Строительство",""),IF(OR(AB47="",AB47&lt;0),"Налоги и резерв",""),IF(OR(AC47="",AC47&lt;0),"Ожидаемая продажа",""),IF(OR(AD47="",AD47&lt;=0),"Капитал инвестора",""),IF(OR(AE47="",AE47&lt;=0,AE47&gt;600),"Срок в месяцах",""),IF(OR(AF47="",AF47&lt;0,AF47&gt;100),"Приоритетная доходность",""),IF(OR(AG47="",AG47&lt;0,AG47&gt;100),"Доля платформы",""),IF(AND(Z47&lt;&gt;"",AA47&lt;&gt;"",AB47&lt;&gt;"",AD47&lt;&gt;"",OR((Z47+AA47+AB47)&lt;=0,AD47&gt;(Z47+AA47+AB47))),"Капитал инвестора больше бюджета",""))="","",TEXTJOIN(", ",TRUE,IF(B47="","Название",""),IF(C47="","Тип недвижимости",""),IF(D47="","Страна",""),IF(E47="","Город",""),IF(F47="","Улица",""),IF(I47="","Валюта",""),IF(OR(AL47="",AL47&lt;1),"Хотя бы 1 фото",""),IF(AND(OR(C47="Квартира",C47="Апартаменты",C47="Дом",C47="Вилла",C47="Коммерческая"),J47=""),"Площадь",""),IF(AND(OR(C47="Квартира",C47="Апартаменты"),K47=""),"Жилая площадь",""),IF(AND(OR(C47="Дом",C47="Вилла",C47="Земля"),L47=""),"Площадь участка",""),IF(AND(OR(C47="Квартира",C47="Апартаменты"),M47=""),"Комнаты",""),IF(AND(OR(C47="Дом",C47="Вилла"),N47=""),"Спальни",""),IF(AND(OR(C47="Квартира",C47="Апартаменты",C47="Дом",C47="Вилла"),O47=""),"Ванные",""),IF(AND(OR(C47="Квартира",C47="Апартаменты"),P47=""),"Этаж",""),IF(AND(OR(OR(C47="Квартира",C47="Апартаменты"),OR(C47="Дом",C47="Вилла")),Q47=""),"Этажей",""),IF(AND(OR(OR(C47="Квартира",C47="Апартаменты"),OR(C47="Дом",C47="Вилла")),OR(R47="",R47&gt;YEAR(TODAY()))),"Год постройки",""),IF(AND(P47&lt;&gt;"",Q47&lt;&gt;"",P47&gt;Q47),"Этаж больше этажности",""),IF(AND(OR(C47="Квартира",C47="Апартаменты",C47="Дом",C47="Вилла"),S47=""),"Материал",""),IF(AND(OR(C47="Коммерческая"),U47=""),"Тип коммерции",""),IF(AND(OR(C47="Земля"),V47=""),"Назначение земли",""),IF(OR(AQ47="",AQ47="Нет"),"Право собственности",""),IF(OR(AR47="",AR47="Нет"),"Справка об отсутствии обременений",""),IF(OR(X47="",X47&lt;=0),"Площадь участка проекта",""),IF(OR(Y47="",Y47&lt;=0),"Площадь строительства",""),IF(OR(Z47="",Z47&lt;0),"Стоимость участка",""),IF(OR(AA47="",AA47&lt;0),"Строительство",""),IF(OR(AB47="",AB47&lt;0),"Налоги и резерв",""),IF(OR(AC47="",AC47&lt;0),"Ожидаемая продажа",""),IF(OR(AD47="",AD47&lt;=0),"Капитал инвестора",""),IF(OR(AE47="",AE47&lt;=0,AE47&gt;600),"Срок в месяцах",""),IF(OR(AF47="",AF47&lt;0,AF47&gt;100),"Приоритетная доходность",""),IF(OR(AG47="",AG47&lt;0,AG47&gt;100),"Доля платформы",""),IF(AND(Z47&lt;&gt;"",AA47&lt;&gt;"",AB47&lt;&gt;"",AD47&lt;&gt;"",OR((Z47+AA47+AB47)&lt;=0,AD47&gt;(Z47+AA47+AB47))),"Капитал инвестора больше бюджета",""))))</f>
        <v/>
      </c>
      <c r="AU47" s="35">
        <f>IF(NOT(COUNTA(A47:AS47)&gt;0),"",IF(TEXTJOIN(", ",TRUE,IF(AO47="","Описание",""),IF(AND(AL47&lt;&gt;"",AL47&gt;=1,AL47&lt;5),"Фото меньше 5",""),IF(AN47="","Видео",""),IF(H47="","Кадастровый номер",""),IF(AM47="","Ссылка на фото",""),IF(W47="","Цель продавца",""),IF(AJ47="","Лицензия",""),IF(AK47="","Допущения и источники",""))="","",TEXTJOIN(", ",TRUE,IF(AO47="","Описание",""),IF(AND(AL47&lt;&gt;"",AL47&gt;=1,AL47&lt;5),"Фото меньше 5",""),IF(AN47="","Видео",""),IF(H47="","Кадастровый номер",""),IF(AM47="","Ссылка на фото",""),IF(W47="","Цель продавца",""),IF(AJ47="","Лицензия",""),IF(AK47="","Допущения и источники",""))))</f>
        <v/>
      </c>
      <c r="AV47" s="35">
        <f>IF(NOT(COUNTA(A47:AS47)&gt;0),"",IF(AT47="","Можно публиковать","Не хватает"))</f>
        <v/>
      </c>
    </row>
    <row r="48" ht="22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7" t="n"/>
      <c r="K48" s="37" t="n"/>
      <c r="L48" s="37" t="n"/>
      <c r="M48" s="38" t="n"/>
      <c r="N48" s="38" t="n"/>
      <c r="O48" s="38" t="n"/>
      <c r="P48" s="38" t="n"/>
      <c r="Q48" s="38" t="n"/>
      <c r="R48" s="38" t="n"/>
      <c r="S48" s="36" t="n"/>
      <c r="T48" s="36" t="n"/>
      <c r="U48" s="36" t="n"/>
      <c r="V48" s="36" t="n"/>
      <c r="W48" s="36" t="n"/>
      <c r="X48" s="37" t="n"/>
      <c r="Y48" s="37" t="n"/>
      <c r="Z48" s="39" t="n"/>
      <c r="AA48" s="39" t="n"/>
      <c r="AB48" s="39" t="n"/>
      <c r="AC48" s="39" t="n"/>
      <c r="AD48" s="39" t="n"/>
      <c r="AE48" s="38" t="n"/>
      <c r="AF48" s="44" t="n"/>
      <c r="AG48" s="44" t="n"/>
      <c r="AH48" s="43">
        <f>IF(AND(Z48&lt;&gt;"",AA48&lt;&gt;"",AB48&lt;&gt;""),Z48+AA48+AB48,"")</f>
        <v/>
      </c>
      <c r="AI48" s="43">
        <f>IF(AND(AND(Z48&lt;&gt;"",AA48&lt;&gt;"",AB48&lt;&gt;""),AC48&lt;&gt;""),AC48-(Z48+AA48+AB48),"")</f>
        <v/>
      </c>
      <c r="AJ48" s="36" t="n"/>
      <c r="AK48" s="36" t="n"/>
      <c r="AL48" s="38" t="n"/>
      <c r="AM48" s="36" t="n"/>
      <c r="AN48" s="36" t="n"/>
      <c r="AO48" s="36" t="n"/>
      <c r="AP48" s="36" t="n"/>
      <c r="AQ48" s="36" t="n"/>
      <c r="AR48" s="36" t="n"/>
      <c r="AS48" s="36" t="n"/>
      <c r="AT48" s="35">
        <f>IF(NOT(COUNTA(A48:AS48)&gt;0),"",IF(TEXTJOIN(", ",TRUE,IF(B48="","Название",""),IF(C48="","Тип недвижимости",""),IF(D48="","Страна",""),IF(E48="","Город",""),IF(F48="","Улица",""),IF(I48="","Валюта",""),IF(OR(AL48="",AL48&lt;1),"Хотя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земли",""),IF(OR(AQ48="",AQ48="Нет"),"Право собственности",""),IF(OR(AR48="",AR48="Нет"),"Справка об отсутствии обременений",""),IF(OR(X48="",X48&lt;=0),"Площадь участка проекта",""),IF(OR(Y48="",Y48&lt;=0),"Площадь строительства",""),IF(OR(Z48="",Z48&lt;0),"Стоимость участка",""),IF(OR(AA48="",AA48&lt;0),"Строительство",""),IF(OR(AB48="",AB48&lt;0),"Налоги и резерв",""),IF(OR(AC48="",AC48&lt;0),"Ожидаемая продажа",""),IF(OR(AD48="",AD48&lt;=0),"Капитал инвестора",""),IF(OR(AE48="",AE48&lt;=0,AE48&gt;600),"Срок в месяцах",""),IF(OR(AF48="",AF48&lt;0,AF48&gt;100),"Приоритетная доходность",""),IF(OR(AG48="",AG48&lt;0,AG48&gt;100),"Доля платформы",""),IF(AND(Z48&lt;&gt;"",AA48&lt;&gt;"",AB48&lt;&gt;"",AD48&lt;&gt;"",OR((Z48+AA48+AB48)&lt;=0,AD48&gt;(Z48+AA48+AB48))),"Капитал инвестора больше бюджета",""))="","",TEXTJOIN(", ",TRUE,IF(B48="","Название",""),IF(C48="","Тип недвижимости",""),IF(D48="","Страна",""),IF(E48="","Город",""),IF(F48="","Улица",""),IF(I48="","Валюта",""),IF(OR(AL48="",AL48&lt;1),"Хотя бы 1 фото",""),IF(AND(OR(C48="Квартира",C48="Апартаменты",C48="Дом",C48="Вилла",C48="Коммерческая"),J48=""),"Площадь",""),IF(AND(OR(C48="Квартира",C48="Апартаменты"),K48=""),"Жилая площадь",""),IF(AND(OR(C48="Дом",C48="Вилла",C48="Земля"),L48=""),"Площадь участка",""),IF(AND(OR(C48="Квартира",C48="Апартаменты"),M48=""),"Комнаты",""),IF(AND(OR(C48="Дом",C48="Вилла"),N48=""),"Спальни",""),IF(AND(OR(C48="Квартира",C48="Апартаменты",C48="Дом",C48="Вилла"),O48=""),"Ванные",""),IF(AND(OR(C48="Квартира",C48="Апартаменты"),P48=""),"Этаж",""),IF(AND(OR(OR(C48="Квартира",C48="Апартаменты"),OR(C48="Дом",C48="Вилла")),Q48=""),"Этажей",""),IF(AND(OR(OR(C48="Квартира",C48="Апартаменты"),OR(C48="Дом",C48="Вилла")),OR(R48="",R48&gt;YEAR(TODAY()))),"Год постройки",""),IF(AND(P48&lt;&gt;"",Q48&lt;&gt;"",P48&gt;Q48),"Этаж больше этажности",""),IF(AND(OR(C48="Квартира",C48="Апартаменты",C48="Дом",C48="Вилла"),S48=""),"Материал",""),IF(AND(OR(C48="Коммерческая"),U48=""),"Тип коммерции",""),IF(AND(OR(C48="Земля"),V48=""),"Назначение земли",""),IF(OR(AQ48="",AQ48="Нет"),"Право собственности",""),IF(OR(AR48="",AR48="Нет"),"Справка об отсутствии обременений",""),IF(OR(X48="",X48&lt;=0),"Площадь участка проекта",""),IF(OR(Y48="",Y48&lt;=0),"Площадь строительства",""),IF(OR(Z48="",Z48&lt;0),"Стоимость участка",""),IF(OR(AA48="",AA48&lt;0),"Строительство",""),IF(OR(AB48="",AB48&lt;0),"Налоги и резерв",""),IF(OR(AC48="",AC48&lt;0),"Ожидаемая продажа",""),IF(OR(AD48="",AD48&lt;=0),"Капитал инвестора",""),IF(OR(AE48="",AE48&lt;=0,AE48&gt;600),"Срок в месяцах",""),IF(OR(AF48="",AF48&lt;0,AF48&gt;100),"Приоритетная доходность",""),IF(OR(AG48="",AG48&lt;0,AG48&gt;100),"Доля платформы",""),IF(AND(Z48&lt;&gt;"",AA48&lt;&gt;"",AB48&lt;&gt;"",AD48&lt;&gt;"",OR((Z48+AA48+AB48)&lt;=0,AD48&gt;(Z48+AA48+AB48))),"Капитал инвестора больше бюджета",""))))</f>
        <v/>
      </c>
      <c r="AU48" s="35">
        <f>IF(NOT(COUNTA(A48:AS48)&gt;0),"",IF(TEXTJOIN(", ",TRUE,IF(AO48="","Описание",""),IF(AND(AL48&lt;&gt;"",AL48&gt;=1,AL48&lt;5),"Фото меньше 5",""),IF(AN48="","Видео",""),IF(H48="","Кадастровый номер",""),IF(AM48="","Ссылка на фото",""),IF(W48="","Цель продавца",""),IF(AJ48="","Лицензия",""),IF(AK48="","Допущения и источники",""))="","",TEXTJOIN(", ",TRUE,IF(AO48="","Описание",""),IF(AND(AL48&lt;&gt;"",AL48&gt;=1,AL48&lt;5),"Фото меньше 5",""),IF(AN48="","Видео",""),IF(H48="","Кадастровый номер",""),IF(AM48="","Ссылка на фото",""),IF(W48="","Цель продавца",""),IF(AJ48="","Лицензия",""),IF(AK48="","Допущения и источники",""))))</f>
        <v/>
      </c>
      <c r="AV48" s="35">
        <f>IF(NOT(COUNTA(A48:AS48)&gt;0),"",IF(AT48="","Можно публиковать","Не хватает"))</f>
        <v/>
      </c>
    </row>
    <row r="49" ht="22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  <c r="K49" s="31" t="n"/>
      <c r="L49" s="31" t="n"/>
      <c r="M49" s="32" t="n"/>
      <c r="N49" s="32" t="n"/>
      <c r="O49" s="32" t="n"/>
      <c r="P49" s="32" t="n"/>
      <c r="Q49" s="32" t="n"/>
      <c r="R49" s="32" t="n"/>
      <c r="S49" s="30" t="n"/>
      <c r="T49" s="30" t="n"/>
      <c r="U49" s="30" t="n"/>
      <c r="V49" s="30" t="n"/>
      <c r="W49" s="30" t="n"/>
      <c r="X49" s="31" t="n"/>
      <c r="Y49" s="31" t="n"/>
      <c r="Z49" s="33" t="n"/>
      <c r="AA49" s="33" t="n"/>
      <c r="AB49" s="33" t="n"/>
      <c r="AC49" s="33" t="n"/>
      <c r="AD49" s="33" t="n"/>
      <c r="AE49" s="32" t="n"/>
      <c r="AF49" s="42" t="n"/>
      <c r="AG49" s="42" t="n"/>
      <c r="AH49" s="43">
        <f>IF(AND(Z49&lt;&gt;"",AA49&lt;&gt;"",AB49&lt;&gt;""),Z49+AA49+AB49,"")</f>
        <v/>
      </c>
      <c r="AI49" s="43">
        <f>IF(AND(AND(Z49&lt;&gt;"",AA49&lt;&gt;"",AB49&lt;&gt;""),AC49&lt;&gt;""),AC49-(Z49+AA49+AB49),"")</f>
        <v/>
      </c>
      <c r="AJ49" s="30" t="n"/>
      <c r="AK49" s="30" t="n"/>
      <c r="AL49" s="32" t="n"/>
      <c r="AM49" s="30" t="n"/>
      <c r="AN49" s="30" t="n"/>
      <c r="AO49" s="30" t="n"/>
      <c r="AP49" s="30" t="n"/>
      <c r="AQ49" s="30" t="n"/>
      <c r="AR49" s="30" t="n"/>
      <c r="AS49" s="30" t="n"/>
      <c r="AT49" s="35">
        <f>IF(NOT(COUNTA(A49:AS49)&gt;0),"",IF(TEXTJOIN(", ",TRUE,IF(B49="","Название",""),IF(C49="","Тип недвижимости",""),IF(D49="","Страна",""),IF(E49="","Город",""),IF(F49="","Улица",""),IF(I49="","Валюта",""),IF(OR(AL49="",AL49&lt;1),"Хотя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земли",""),IF(OR(AQ49="",AQ49="Нет"),"Право собственности",""),IF(OR(AR49="",AR49="Нет"),"Справка об отсутствии обременений",""),IF(OR(X49="",X49&lt;=0),"Площадь участка проекта",""),IF(OR(Y49="",Y49&lt;=0),"Площадь строительства",""),IF(OR(Z49="",Z49&lt;0),"Стоимость участка",""),IF(OR(AA49="",AA49&lt;0),"Строительство",""),IF(OR(AB49="",AB49&lt;0),"Налоги и резерв",""),IF(OR(AC49="",AC49&lt;0),"Ожидаемая продажа",""),IF(OR(AD49="",AD49&lt;=0),"Капитал инвестора",""),IF(OR(AE49="",AE49&lt;=0,AE49&gt;600),"Срок в месяцах",""),IF(OR(AF49="",AF49&lt;0,AF49&gt;100),"Приоритетная доходность",""),IF(OR(AG49="",AG49&lt;0,AG49&gt;100),"Доля платформы",""),IF(AND(Z49&lt;&gt;"",AA49&lt;&gt;"",AB49&lt;&gt;"",AD49&lt;&gt;"",OR((Z49+AA49+AB49)&lt;=0,AD49&gt;(Z49+AA49+AB49))),"Капитал инвестора больше бюджета",""))="","",TEXTJOIN(", ",TRUE,IF(B49="","Название",""),IF(C49="","Тип недвижимости",""),IF(D49="","Страна",""),IF(E49="","Город",""),IF(F49="","Улица",""),IF(I49="","Валюта",""),IF(OR(AL49="",AL49&lt;1),"Хотя бы 1 фото",""),IF(AND(OR(C49="Квартира",C49="Апартаменты",C49="Дом",C49="Вилла",C49="Коммерческая"),J49=""),"Площадь",""),IF(AND(OR(C49="Квартира",C49="Апартаменты"),K49=""),"Жилая площадь",""),IF(AND(OR(C49="Дом",C49="Вилла",C49="Земля"),L49=""),"Площадь участка",""),IF(AND(OR(C49="Квартира",C49="Апартаменты"),M49=""),"Комнаты",""),IF(AND(OR(C49="Дом",C49="Вилла"),N49=""),"Спальни",""),IF(AND(OR(C49="Квартира",C49="Апартаменты",C49="Дом",C49="Вилла"),O49=""),"Ванные",""),IF(AND(OR(C49="Квартира",C49="Апартаменты"),P49=""),"Этаж",""),IF(AND(OR(OR(C49="Квартира",C49="Апартаменты"),OR(C49="Дом",C49="Вилла")),Q49=""),"Этажей",""),IF(AND(OR(OR(C49="Квартира",C49="Апартаменты"),OR(C49="Дом",C49="Вилла")),OR(R49="",R49&gt;YEAR(TODAY()))),"Год постройки",""),IF(AND(P49&lt;&gt;"",Q49&lt;&gt;"",P49&gt;Q49),"Этаж больше этажности",""),IF(AND(OR(C49="Квартира",C49="Апартаменты",C49="Дом",C49="Вилла"),S49=""),"Материал",""),IF(AND(OR(C49="Коммерческая"),U49=""),"Тип коммерции",""),IF(AND(OR(C49="Земля"),V49=""),"Назначение земли",""),IF(OR(AQ49="",AQ49="Нет"),"Право собственности",""),IF(OR(AR49="",AR49="Нет"),"Справка об отсутствии обременений",""),IF(OR(X49="",X49&lt;=0),"Площадь участка проекта",""),IF(OR(Y49="",Y49&lt;=0),"Площадь строительства",""),IF(OR(Z49="",Z49&lt;0),"Стоимость участка",""),IF(OR(AA49="",AA49&lt;0),"Строительство",""),IF(OR(AB49="",AB49&lt;0),"Налоги и резерв",""),IF(OR(AC49="",AC49&lt;0),"Ожидаемая продажа",""),IF(OR(AD49="",AD49&lt;=0),"Капитал инвестора",""),IF(OR(AE49="",AE49&lt;=0,AE49&gt;600),"Срок в месяцах",""),IF(OR(AF49="",AF49&lt;0,AF49&gt;100),"Приоритетная доходность",""),IF(OR(AG49="",AG49&lt;0,AG49&gt;100),"Доля платформы",""),IF(AND(Z49&lt;&gt;"",AA49&lt;&gt;"",AB49&lt;&gt;"",AD49&lt;&gt;"",OR((Z49+AA49+AB49)&lt;=0,AD49&gt;(Z49+AA49+AB49))),"Капитал инвестора больше бюджета",""))))</f>
        <v/>
      </c>
      <c r="AU49" s="35">
        <f>IF(NOT(COUNTA(A49:AS49)&gt;0),"",IF(TEXTJOIN(", ",TRUE,IF(AO49="","Описание",""),IF(AND(AL49&lt;&gt;"",AL49&gt;=1,AL49&lt;5),"Фото меньше 5",""),IF(AN49="","Видео",""),IF(H49="","Кадастровый номер",""),IF(AM49="","Ссылка на фото",""),IF(W49="","Цель продавца",""),IF(AJ49="","Лицензия",""),IF(AK49="","Допущения и источники",""))="","",TEXTJOIN(", ",TRUE,IF(AO49="","Описание",""),IF(AND(AL49&lt;&gt;"",AL49&gt;=1,AL49&lt;5),"Фото меньше 5",""),IF(AN49="","Видео",""),IF(H49="","Кадастровый номер",""),IF(AM49="","Ссылка на фото",""),IF(W49="","Цель продавца",""),IF(AJ49="","Лицензия",""),IF(AK49="","Допущения и источники",""))))</f>
        <v/>
      </c>
      <c r="AV49" s="35">
        <f>IF(NOT(COUNTA(A49:AS49)&gt;0),"",IF(AT49="","Можно публиковать","Не хватает"))</f>
        <v/>
      </c>
    </row>
    <row r="50" ht="22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7" t="n"/>
      <c r="K50" s="37" t="n"/>
      <c r="L50" s="37" t="n"/>
      <c r="M50" s="38" t="n"/>
      <c r="N50" s="38" t="n"/>
      <c r="O50" s="38" t="n"/>
      <c r="P50" s="38" t="n"/>
      <c r="Q50" s="38" t="n"/>
      <c r="R50" s="38" t="n"/>
      <c r="S50" s="36" t="n"/>
      <c r="T50" s="36" t="n"/>
      <c r="U50" s="36" t="n"/>
      <c r="V50" s="36" t="n"/>
      <c r="W50" s="36" t="n"/>
      <c r="X50" s="37" t="n"/>
      <c r="Y50" s="37" t="n"/>
      <c r="Z50" s="39" t="n"/>
      <c r="AA50" s="39" t="n"/>
      <c r="AB50" s="39" t="n"/>
      <c r="AC50" s="39" t="n"/>
      <c r="AD50" s="39" t="n"/>
      <c r="AE50" s="38" t="n"/>
      <c r="AF50" s="44" t="n"/>
      <c r="AG50" s="44" t="n"/>
      <c r="AH50" s="43">
        <f>IF(AND(Z50&lt;&gt;"",AA50&lt;&gt;"",AB50&lt;&gt;""),Z50+AA50+AB50,"")</f>
        <v/>
      </c>
      <c r="AI50" s="43">
        <f>IF(AND(AND(Z50&lt;&gt;"",AA50&lt;&gt;"",AB50&lt;&gt;""),AC50&lt;&gt;""),AC50-(Z50+AA50+AB50),"")</f>
        <v/>
      </c>
      <c r="AJ50" s="36" t="n"/>
      <c r="AK50" s="36" t="n"/>
      <c r="AL50" s="38" t="n"/>
      <c r="AM50" s="36" t="n"/>
      <c r="AN50" s="36" t="n"/>
      <c r="AO50" s="36" t="n"/>
      <c r="AP50" s="36" t="n"/>
      <c r="AQ50" s="36" t="n"/>
      <c r="AR50" s="36" t="n"/>
      <c r="AS50" s="36" t="n"/>
      <c r="AT50" s="35">
        <f>IF(NOT(COUNTA(A50:AS50)&gt;0),"",IF(TEXTJOIN(", ",TRUE,IF(B50="","Название",""),IF(C50="","Тип недвижимости",""),IF(D50="","Страна",""),IF(E50="","Город",""),IF(F50="","Улица",""),IF(I50="","Валюта",""),IF(OR(AL50="",AL50&lt;1),"Хотя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земли",""),IF(OR(AQ50="",AQ50="Нет"),"Право собственности",""),IF(OR(AR50="",AR50="Нет"),"Справка об отсутствии обременений",""),IF(OR(X50="",X50&lt;=0),"Площадь участка проекта",""),IF(OR(Y50="",Y50&lt;=0),"Площадь строительства",""),IF(OR(Z50="",Z50&lt;0),"Стоимость участка",""),IF(OR(AA50="",AA50&lt;0),"Строительство",""),IF(OR(AB50="",AB50&lt;0),"Налоги и резерв",""),IF(OR(AC50="",AC50&lt;0),"Ожидаемая продажа",""),IF(OR(AD50="",AD50&lt;=0),"Капитал инвестора",""),IF(OR(AE50="",AE50&lt;=0,AE50&gt;600),"Срок в месяцах",""),IF(OR(AF50="",AF50&lt;0,AF50&gt;100),"Приоритетная доходность",""),IF(OR(AG50="",AG50&lt;0,AG50&gt;100),"Доля платформы",""),IF(AND(Z50&lt;&gt;"",AA50&lt;&gt;"",AB50&lt;&gt;"",AD50&lt;&gt;"",OR((Z50+AA50+AB50)&lt;=0,AD50&gt;(Z50+AA50+AB50))),"Капитал инвестора больше бюджета",""))="","",TEXTJOIN(", ",TRUE,IF(B50="","Название",""),IF(C50="","Тип недвижимости",""),IF(D50="","Страна",""),IF(E50="","Город",""),IF(F50="","Улица",""),IF(I50="","Валюта",""),IF(OR(AL50="",AL50&lt;1),"Хотя бы 1 фото",""),IF(AND(OR(C50="Квартира",C50="Апартаменты",C50="Дом",C50="Вилла",C50="Коммерческая"),J50=""),"Площадь",""),IF(AND(OR(C50="Квартира",C50="Апартаменты"),K50=""),"Жилая площадь",""),IF(AND(OR(C50="Дом",C50="Вилла",C50="Земля"),L50=""),"Площадь участка",""),IF(AND(OR(C50="Квартира",C50="Апартаменты"),M50=""),"Комнаты",""),IF(AND(OR(C50="Дом",C50="Вилла"),N50=""),"Спальни",""),IF(AND(OR(C50="Квартира",C50="Апартаменты",C50="Дом",C50="Вилла"),O50=""),"Ванные",""),IF(AND(OR(C50="Квартира",C50="Апартаменты"),P50=""),"Этаж",""),IF(AND(OR(OR(C50="Квартира",C50="Апартаменты"),OR(C50="Дом",C50="Вилла")),Q50=""),"Этажей",""),IF(AND(OR(OR(C50="Квартира",C50="Апартаменты"),OR(C50="Дом",C50="Вилла")),OR(R50="",R50&gt;YEAR(TODAY()))),"Год постройки",""),IF(AND(P50&lt;&gt;"",Q50&lt;&gt;"",P50&gt;Q50),"Этаж больше этажности",""),IF(AND(OR(C50="Квартира",C50="Апартаменты",C50="Дом",C50="Вилла"),S50=""),"Материал",""),IF(AND(OR(C50="Коммерческая"),U50=""),"Тип коммерции",""),IF(AND(OR(C50="Земля"),V50=""),"Назначение земли",""),IF(OR(AQ50="",AQ50="Нет"),"Право собственности",""),IF(OR(AR50="",AR50="Нет"),"Справка об отсутствии обременений",""),IF(OR(X50="",X50&lt;=0),"Площадь участка проекта",""),IF(OR(Y50="",Y50&lt;=0),"Площадь строительства",""),IF(OR(Z50="",Z50&lt;0),"Стоимость участка",""),IF(OR(AA50="",AA50&lt;0),"Строительство",""),IF(OR(AB50="",AB50&lt;0),"Налоги и резерв",""),IF(OR(AC50="",AC50&lt;0),"Ожидаемая продажа",""),IF(OR(AD50="",AD50&lt;=0),"Капитал инвестора",""),IF(OR(AE50="",AE50&lt;=0,AE50&gt;600),"Срок в месяцах",""),IF(OR(AF50="",AF50&lt;0,AF50&gt;100),"Приоритетная доходность",""),IF(OR(AG50="",AG50&lt;0,AG50&gt;100),"Доля платформы",""),IF(AND(Z50&lt;&gt;"",AA50&lt;&gt;"",AB50&lt;&gt;"",AD50&lt;&gt;"",OR((Z50+AA50+AB50)&lt;=0,AD50&gt;(Z50+AA50+AB50))),"Капитал инвестора больше бюджета",""))))</f>
        <v/>
      </c>
      <c r="AU50" s="35">
        <f>IF(NOT(COUNTA(A50:AS50)&gt;0),"",IF(TEXTJOIN(", ",TRUE,IF(AO50="","Описание",""),IF(AND(AL50&lt;&gt;"",AL50&gt;=1,AL50&lt;5),"Фото меньше 5",""),IF(AN50="","Видео",""),IF(H50="","Кадастровый номер",""),IF(AM50="","Ссылка на фото",""),IF(W50="","Цель продавца",""),IF(AJ50="","Лицензия",""),IF(AK50="","Допущения и источники",""))="","",TEXTJOIN(", ",TRUE,IF(AO50="","Описание",""),IF(AND(AL50&lt;&gt;"",AL50&gt;=1,AL50&lt;5),"Фото меньше 5",""),IF(AN50="","Видео",""),IF(H50="","Кадастровый номер",""),IF(AM50="","Ссылка на фото",""),IF(W50="","Цель продавца",""),IF(AJ50="","Лицензия",""),IF(AK50="","Допущения и источники",""))))</f>
        <v/>
      </c>
      <c r="AV50" s="35">
        <f>IF(NOT(COUNTA(A50:AS50)&gt;0),"",IF(AT50="","Можно публиковать","Не хватает"))</f>
        <v/>
      </c>
    </row>
    <row r="51" ht="22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 t="n"/>
      <c r="K51" s="31" t="n"/>
      <c r="L51" s="31" t="n"/>
      <c r="M51" s="32" t="n"/>
      <c r="N51" s="32" t="n"/>
      <c r="O51" s="32" t="n"/>
      <c r="P51" s="32" t="n"/>
      <c r="Q51" s="32" t="n"/>
      <c r="R51" s="32" t="n"/>
      <c r="S51" s="30" t="n"/>
      <c r="T51" s="30" t="n"/>
      <c r="U51" s="30" t="n"/>
      <c r="V51" s="30" t="n"/>
      <c r="W51" s="30" t="n"/>
      <c r="X51" s="31" t="n"/>
      <c r="Y51" s="31" t="n"/>
      <c r="Z51" s="33" t="n"/>
      <c r="AA51" s="33" t="n"/>
      <c r="AB51" s="33" t="n"/>
      <c r="AC51" s="33" t="n"/>
      <c r="AD51" s="33" t="n"/>
      <c r="AE51" s="32" t="n"/>
      <c r="AF51" s="42" t="n"/>
      <c r="AG51" s="42" t="n"/>
      <c r="AH51" s="43">
        <f>IF(AND(Z51&lt;&gt;"",AA51&lt;&gt;"",AB51&lt;&gt;""),Z51+AA51+AB51,"")</f>
        <v/>
      </c>
      <c r="AI51" s="43">
        <f>IF(AND(AND(Z51&lt;&gt;"",AA51&lt;&gt;"",AB51&lt;&gt;""),AC51&lt;&gt;""),AC51-(Z51+AA51+AB51),"")</f>
        <v/>
      </c>
      <c r="AJ51" s="30" t="n"/>
      <c r="AK51" s="30" t="n"/>
      <c r="AL51" s="32" t="n"/>
      <c r="AM51" s="30" t="n"/>
      <c r="AN51" s="30" t="n"/>
      <c r="AO51" s="30" t="n"/>
      <c r="AP51" s="30" t="n"/>
      <c r="AQ51" s="30" t="n"/>
      <c r="AR51" s="30" t="n"/>
      <c r="AS51" s="30" t="n"/>
      <c r="AT51" s="35">
        <f>IF(NOT(COUNTA(A51:AS51)&gt;0),"",IF(TEXTJOIN(", ",TRUE,IF(B51="","Название",""),IF(C51="","Тип недвижимости",""),IF(D51="","Страна",""),IF(E51="","Город",""),IF(F51="","Улица",""),IF(I51="","Валюта",""),IF(OR(AL51="",AL51&lt;1),"Хотя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земли",""),IF(OR(AQ51="",AQ51="Нет"),"Право собственности",""),IF(OR(AR51="",AR51="Нет"),"Справка об отсутствии обременений",""),IF(OR(X51="",X51&lt;=0),"Площадь участка проекта",""),IF(OR(Y51="",Y51&lt;=0),"Площадь строительства",""),IF(OR(Z51="",Z51&lt;0),"Стоимость участка",""),IF(OR(AA51="",AA51&lt;0),"Строительство",""),IF(OR(AB51="",AB51&lt;0),"Налоги и резерв",""),IF(OR(AC51="",AC51&lt;0),"Ожидаемая продажа",""),IF(OR(AD51="",AD51&lt;=0),"Капитал инвестора",""),IF(OR(AE51="",AE51&lt;=0,AE51&gt;600),"Срок в месяцах",""),IF(OR(AF51="",AF51&lt;0,AF51&gt;100),"Приоритетная доходность",""),IF(OR(AG51="",AG51&lt;0,AG51&gt;100),"Доля платформы",""),IF(AND(Z51&lt;&gt;"",AA51&lt;&gt;"",AB51&lt;&gt;"",AD51&lt;&gt;"",OR((Z51+AA51+AB51)&lt;=0,AD51&gt;(Z51+AA51+AB51))),"Капитал инвестора больше бюджета",""))="","",TEXTJOIN(", ",TRUE,IF(B51="","Название",""),IF(C51="","Тип недвижимости",""),IF(D51="","Страна",""),IF(E51="","Город",""),IF(F51="","Улица",""),IF(I51="","Валюта",""),IF(OR(AL51="",AL51&lt;1),"Хотя бы 1 фото",""),IF(AND(OR(C51="Квартира",C51="Апартаменты",C51="Дом",C51="Вилла",C51="Коммерческая"),J51=""),"Площадь",""),IF(AND(OR(C51="Квартира",C51="Апартаменты"),K51=""),"Жилая площадь",""),IF(AND(OR(C51="Дом",C51="Вилла",C51="Земля"),L51=""),"Площадь участка",""),IF(AND(OR(C51="Квартира",C51="Апартаменты"),M51=""),"Комнаты",""),IF(AND(OR(C51="Дом",C51="Вилла"),N51=""),"Спальни",""),IF(AND(OR(C51="Квартира",C51="Апартаменты",C51="Дом",C51="Вилла"),O51=""),"Ванные",""),IF(AND(OR(C51="Квартира",C51="Апартаменты"),P51=""),"Этаж",""),IF(AND(OR(OR(C51="Квартира",C51="Апартаменты"),OR(C51="Дом",C51="Вилла")),Q51=""),"Этажей",""),IF(AND(OR(OR(C51="Квартира",C51="Апартаменты"),OR(C51="Дом",C51="Вилла")),OR(R51="",R51&gt;YEAR(TODAY()))),"Год постройки",""),IF(AND(P51&lt;&gt;"",Q51&lt;&gt;"",P51&gt;Q51),"Этаж больше этажности",""),IF(AND(OR(C51="Квартира",C51="Апартаменты",C51="Дом",C51="Вилла"),S51=""),"Материал",""),IF(AND(OR(C51="Коммерческая"),U51=""),"Тип коммерции",""),IF(AND(OR(C51="Земля"),V51=""),"Назначение земли",""),IF(OR(AQ51="",AQ51="Нет"),"Право собственности",""),IF(OR(AR51="",AR51="Нет"),"Справка об отсутствии обременений",""),IF(OR(X51="",X51&lt;=0),"Площадь участка проекта",""),IF(OR(Y51="",Y51&lt;=0),"Площадь строительства",""),IF(OR(Z51="",Z51&lt;0),"Стоимость участка",""),IF(OR(AA51="",AA51&lt;0),"Строительство",""),IF(OR(AB51="",AB51&lt;0),"Налоги и резерв",""),IF(OR(AC51="",AC51&lt;0),"Ожидаемая продажа",""),IF(OR(AD51="",AD51&lt;=0),"Капитал инвестора",""),IF(OR(AE51="",AE51&lt;=0,AE51&gt;600),"Срок в месяцах",""),IF(OR(AF51="",AF51&lt;0,AF51&gt;100),"Приоритетная доходность",""),IF(OR(AG51="",AG51&lt;0,AG51&gt;100),"Доля платформы",""),IF(AND(Z51&lt;&gt;"",AA51&lt;&gt;"",AB51&lt;&gt;"",AD51&lt;&gt;"",OR((Z51+AA51+AB51)&lt;=0,AD51&gt;(Z51+AA51+AB51))),"Капитал инвестора больше бюджета",""))))</f>
        <v/>
      </c>
      <c r="AU51" s="35">
        <f>IF(NOT(COUNTA(A51:AS51)&gt;0),"",IF(TEXTJOIN(", ",TRUE,IF(AO51="","Описание",""),IF(AND(AL51&lt;&gt;"",AL51&gt;=1,AL51&lt;5),"Фото меньше 5",""),IF(AN51="","Видео",""),IF(H51="","Кадастровый номер",""),IF(AM51="","Ссылка на фото",""),IF(W51="","Цель продавца",""),IF(AJ51="","Лицензия",""),IF(AK51="","Допущения и источники",""))="","",TEXTJOIN(", ",TRUE,IF(AO51="","Описание",""),IF(AND(AL51&lt;&gt;"",AL51&gt;=1,AL51&lt;5),"Фото меньше 5",""),IF(AN51="","Видео",""),IF(H51="","Кадастровый номер",""),IF(AM51="","Ссылка на фото",""),IF(W51="","Цель продавца",""),IF(AJ51="","Лицензия",""),IF(AK51="","Допущения и источники",""))))</f>
        <v/>
      </c>
      <c r="AV51" s="35">
        <f>IF(NOT(COUNTA(A51:AS51)&gt;0),"",IF(AT51="","Можно публиковать","Не хватает"))</f>
        <v/>
      </c>
    </row>
    <row r="52" ht="22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7" t="n"/>
      <c r="K52" s="37" t="n"/>
      <c r="L52" s="37" t="n"/>
      <c r="M52" s="38" t="n"/>
      <c r="N52" s="38" t="n"/>
      <c r="O52" s="38" t="n"/>
      <c r="P52" s="38" t="n"/>
      <c r="Q52" s="38" t="n"/>
      <c r="R52" s="38" t="n"/>
      <c r="S52" s="36" t="n"/>
      <c r="T52" s="36" t="n"/>
      <c r="U52" s="36" t="n"/>
      <c r="V52" s="36" t="n"/>
      <c r="W52" s="36" t="n"/>
      <c r="X52" s="37" t="n"/>
      <c r="Y52" s="37" t="n"/>
      <c r="Z52" s="39" t="n"/>
      <c r="AA52" s="39" t="n"/>
      <c r="AB52" s="39" t="n"/>
      <c r="AC52" s="39" t="n"/>
      <c r="AD52" s="39" t="n"/>
      <c r="AE52" s="38" t="n"/>
      <c r="AF52" s="44" t="n"/>
      <c r="AG52" s="44" t="n"/>
      <c r="AH52" s="43">
        <f>IF(AND(Z52&lt;&gt;"",AA52&lt;&gt;"",AB52&lt;&gt;""),Z52+AA52+AB52,"")</f>
        <v/>
      </c>
      <c r="AI52" s="43">
        <f>IF(AND(AND(Z52&lt;&gt;"",AA52&lt;&gt;"",AB52&lt;&gt;""),AC52&lt;&gt;""),AC52-(Z52+AA52+AB52),"")</f>
        <v/>
      </c>
      <c r="AJ52" s="36" t="n"/>
      <c r="AK52" s="36" t="n"/>
      <c r="AL52" s="38" t="n"/>
      <c r="AM52" s="36" t="n"/>
      <c r="AN52" s="36" t="n"/>
      <c r="AO52" s="36" t="n"/>
      <c r="AP52" s="36" t="n"/>
      <c r="AQ52" s="36" t="n"/>
      <c r="AR52" s="36" t="n"/>
      <c r="AS52" s="36" t="n"/>
      <c r="AT52" s="35">
        <f>IF(NOT(COUNTA(A52:AS52)&gt;0),"",IF(TEXTJOIN(", ",TRUE,IF(B52="","Название",""),IF(C52="","Тип недвижимости",""),IF(D52="","Страна",""),IF(E52="","Город",""),IF(F52="","Улица",""),IF(I52="","Валюта",""),IF(OR(AL52="",AL52&lt;1),"Хотя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земли",""),IF(OR(AQ52="",AQ52="Нет"),"Право собственности",""),IF(OR(AR52="",AR52="Нет"),"Справка об отсутствии обременений",""),IF(OR(X52="",X52&lt;=0),"Площадь участка проекта",""),IF(OR(Y52="",Y52&lt;=0),"Площадь строительства",""),IF(OR(Z52="",Z52&lt;0),"Стоимость участка",""),IF(OR(AA52="",AA52&lt;0),"Строительство",""),IF(OR(AB52="",AB52&lt;0),"Налоги и резерв",""),IF(OR(AC52="",AC52&lt;0),"Ожидаемая продажа",""),IF(OR(AD52="",AD52&lt;=0),"Капитал инвестора",""),IF(OR(AE52="",AE52&lt;=0,AE52&gt;600),"Срок в месяцах",""),IF(OR(AF52="",AF52&lt;0,AF52&gt;100),"Приоритетная доходность",""),IF(OR(AG52="",AG52&lt;0,AG52&gt;100),"Доля платформы",""),IF(AND(Z52&lt;&gt;"",AA52&lt;&gt;"",AB52&lt;&gt;"",AD52&lt;&gt;"",OR((Z52+AA52+AB52)&lt;=0,AD52&gt;(Z52+AA52+AB52))),"Капитал инвестора больше бюджета",""))="","",TEXTJOIN(", ",TRUE,IF(B52="","Название",""),IF(C52="","Тип недвижимости",""),IF(D52="","Страна",""),IF(E52="","Город",""),IF(F52="","Улица",""),IF(I52="","Валюта",""),IF(OR(AL52="",AL52&lt;1),"Хотя бы 1 фото",""),IF(AND(OR(C52="Квартира",C52="Апартаменты",C52="Дом",C52="Вилла",C52="Коммерческая"),J52=""),"Площадь",""),IF(AND(OR(C52="Квартира",C52="Апартаменты"),K52=""),"Жилая площадь",""),IF(AND(OR(C52="Дом",C52="Вилла",C52="Земля"),L52=""),"Площадь участка",""),IF(AND(OR(C52="Квартира",C52="Апартаменты"),M52=""),"Комнаты",""),IF(AND(OR(C52="Дом",C52="Вилла"),N52=""),"Спальни",""),IF(AND(OR(C52="Квартира",C52="Апартаменты",C52="Дом",C52="Вилла"),O52=""),"Ванные",""),IF(AND(OR(C52="Квартира",C52="Апартаменты"),P52=""),"Этаж",""),IF(AND(OR(OR(C52="Квартира",C52="Апартаменты"),OR(C52="Дом",C52="Вилла")),Q52=""),"Этажей",""),IF(AND(OR(OR(C52="Квартира",C52="Апартаменты"),OR(C52="Дом",C52="Вилла")),OR(R52="",R52&gt;YEAR(TODAY()))),"Год постройки",""),IF(AND(P52&lt;&gt;"",Q52&lt;&gt;"",P52&gt;Q52),"Этаж больше этажности",""),IF(AND(OR(C52="Квартира",C52="Апартаменты",C52="Дом",C52="Вилла"),S52=""),"Материал",""),IF(AND(OR(C52="Коммерческая"),U52=""),"Тип коммерции",""),IF(AND(OR(C52="Земля"),V52=""),"Назначение земли",""),IF(OR(AQ52="",AQ52="Нет"),"Право собственности",""),IF(OR(AR52="",AR52="Нет"),"Справка об отсутствии обременений",""),IF(OR(X52="",X52&lt;=0),"Площадь участка проекта",""),IF(OR(Y52="",Y52&lt;=0),"Площадь строительства",""),IF(OR(Z52="",Z52&lt;0),"Стоимость участка",""),IF(OR(AA52="",AA52&lt;0),"Строительство",""),IF(OR(AB52="",AB52&lt;0),"Налоги и резерв",""),IF(OR(AC52="",AC52&lt;0),"Ожидаемая продажа",""),IF(OR(AD52="",AD52&lt;=0),"Капитал инвестора",""),IF(OR(AE52="",AE52&lt;=0,AE52&gt;600),"Срок в месяцах",""),IF(OR(AF52="",AF52&lt;0,AF52&gt;100),"Приоритетная доходность",""),IF(OR(AG52="",AG52&lt;0,AG52&gt;100),"Доля платформы",""),IF(AND(Z52&lt;&gt;"",AA52&lt;&gt;"",AB52&lt;&gt;"",AD52&lt;&gt;"",OR((Z52+AA52+AB52)&lt;=0,AD52&gt;(Z52+AA52+AB52))),"Капитал инвестора больше бюджета",""))))</f>
        <v/>
      </c>
      <c r="AU52" s="35">
        <f>IF(NOT(COUNTA(A52:AS52)&gt;0),"",IF(TEXTJOIN(", ",TRUE,IF(AO52="","Описание",""),IF(AND(AL52&lt;&gt;"",AL52&gt;=1,AL52&lt;5),"Фото меньше 5",""),IF(AN52="","Видео",""),IF(H52="","Кадастровый номер",""),IF(AM52="","Ссылка на фото",""),IF(W52="","Цель продавца",""),IF(AJ52="","Лицензия",""),IF(AK52="","Допущения и источники",""))="","",TEXTJOIN(", ",TRUE,IF(AO52="","Описание",""),IF(AND(AL52&lt;&gt;"",AL52&gt;=1,AL52&lt;5),"Фото меньше 5",""),IF(AN52="","Видео",""),IF(H52="","Кадастровый номер",""),IF(AM52="","Ссылка на фото",""),IF(W52="","Цель продавца",""),IF(AJ52="","Лицензия",""),IF(AK52="","Допущения и источники",""))))</f>
        <v/>
      </c>
      <c r="AV52" s="35">
        <f>IF(NOT(COUNTA(A52:AS52)&gt;0),"",IF(AT52="","Можно публиковать","Не хватает"))</f>
        <v/>
      </c>
    </row>
    <row r="53" ht="22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  <c r="K53" s="31" t="n"/>
      <c r="L53" s="31" t="n"/>
      <c r="M53" s="32" t="n"/>
      <c r="N53" s="32" t="n"/>
      <c r="O53" s="32" t="n"/>
      <c r="P53" s="32" t="n"/>
      <c r="Q53" s="32" t="n"/>
      <c r="R53" s="32" t="n"/>
      <c r="S53" s="30" t="n"/>
      <c r="T53" s="30" t="n"/>
      <c r="U53" s="30" t="n"/>
      <c r="V53" s="30" t="n"/>
      <c r="W53" s="30" t="n"/>
      <c r="X53" s="31" t="n"/>
      <c r="Y53" s="31" t="n"/>
      <c r="Z53" s="33" t="n"/>
      <c r="AA53" s="33" t="n"/>
      <c r="AB53" s="33" t="n"/>
      <c r="AC53" s="33" t="n"/>
      <c r="AD53" s="33" t="n"/>
      <c r="AE53" s="32" t="n"/>
      <c r="AF53" s="42" t="n"/>
      <c r="AG53" s="42" t="n"/>
      <c r="AH53" s="43">
        <f>IF(AND(Z53&lt;&gt;"",AA53&lt;&gt;"",AB53&lt;&gt;""),Z53+AA53+AB53,"")</f>
        <v/>
      </c>
      <c r="AI53" s="43">
        <f>IF(AND(AND(Z53&lt;&gt;"",AA53&lt;&gt;"",AB53&lt;&gt;""),AC53&lt;&gt;""),AC53-(Z53+AA53+AB53),"")</f>
        <v/>
      </c>
      <c r="AJ53" s="30" t="n"/>
      <c r="AK53" s="30" t="n"/>
      <c r="AL53" s="32" t="n"/>
      <c r="AM53" s="30" t="n"/>
      <c r="AN53" s="30" t="n"/>
      <c r="AO53" s="30" t="n"/>
      <c r="AP53" s="30" t="n"/>
      <c r="AQ53" s="30" t="n"/>
      <c r="AR53" s="30" t="n"/>
      <c r="AS53" s="30" t="n"/>
      <c r="AT53" s="35">
        <f>IF(NOT(COUNTA(A53:AS53)&gt;0),"",IF(TEXTJOIN(", ",TRUE,IF(B53="","Название",""),IF(C53="","Тип недвижимости",""),IF(D53="","Страна",""),IF(E53="","Город",""),IF(F53="","Улица",""),IF(I53="","Валюта",""),IF(OR(AL53="",AL53&lt;1),"Хотя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земли",""),IF(OR(AQ53="",AQ53="Нет"),"Право собственности",""),IF(OR(AR53="",AR53="Нет"),"Справка об отсутствии обременений",""),IF(OR(X53="",X53&lt;=0),"Площадь участка проекта",""),IF(OR(Y53="",Y53&lt;=0),"Площадь строительства",""),IF(OR(Z53="",Z53&lt;0),"Стоимость участка",""),IF(OR(AA53="",AA53&lt;0),"Строительство",""),IF(OR(AB53="",AB53&lt;0),"Налоги и резерв",""),IF(OR(AC53="",AC53&lt;0),"Ожидаемая продажа",""),IF(OR(AD53="",AD53&lt;=0),"Капитал инвестора",""),IF(OR(AE53="",AE53&lt;=0,AE53&gt;600),"Срок в месяцах",""),IF(OR(AF53="",AF53&lt;0,AF53&gt;100),"Приоритетная доходность",""),IF(OR(AG53="",AG53&lt;0,AG53&gt;100),"Доля платформы",""),IF(AND(Z53&lt;&gt;"",AA53&lt;&gt;"",AB53&lt;&gt;"",AD53&lt;&gt;"",OR((Z53+AA53+AB53)&lt;=0,AD53&gt;(Z53+AA53+AB53))),"Капитал инвестора больше бюджета",""))="","",TEXTJOIN(", ",TRUE,IF(B53="","Название",""),IF(C53="","Тип недвижимости",""),IF(D53="","Страна",""),IF(E53="","Город",""),IF(F53="","Улица",""),IF(I53="","Валюта",""),IF(OR(AL53="",AL53&lt;1),"Хотя бы 1 фото",""),IF(AND(OR(C53="Квартира",C53="Апартаменты",C53="Дом",C53="Вилла",C53="Коммерческая"),J53=""),"Площадь",""),IF(AND(OR(C53="Квартира",C53="Апартаменты"),K53=""),"Жилая площадь",""),IF(AND(OR(C53="Дом",C53="Вилла",C53="Земля"),L53=""),"Площадь участка",""),IF(AND(OR(C53="Квартира",C53="Апартаменты"),M53=""),"Комнаты",""),IF(AND(OR(C53="Дом",C53="Вилла"),N53=""),"Спальни",""),IF(AND(OR(C53="Квартира",C53="Апартаменты",C53="Дом",C53="Вилла"),O53=""),"Ванные",""),IF(AND(OR(C53="Квартира",C53="Апартаменты"),P53=""),"Этаж",""),IF(AND(OR(OR(C53="Квартира",C53="Апартаменты"),OR(C53="Дом",C53="Вилла")),Q53=""),"Этажей",""),IF(AND(OR(OR(C53="Квартира",C53="Апартаменты"),OR(C53="Дом",C53="Вилла")),OR(R53="",R53&gt;YEAR(TODAY()))),"Год постройки",""),IF(AND(P53&lt;&gt;"",Q53&lt;&gt;"",P53&gt;Q53),"Этаж больше этажности",""),IF(AND(OR(C53="Квартира",C53="Апартаменты",C53="Дом",C53="Вилла"),S53=""),"Материал",""),IF(AND(OR(C53="Коммерческая"),U53=""),"Тип коммерции",""),IF(AND(OR(C53="Земля"),V53=""),"Назначение земли",""),IF(OR(AQ53="",AQ53="Нет"),"Право собственности",""),IF(OR(AR53="",AR53="Нет"),"Справка об отсутствии обременений",""),IF(OR(X53="",X53&lt;=0),"Площадь участка проекта",""),IF(OR(Y53="",Y53&lt;=0),"Площадь строительства",""),IF(OR(Z53="",Z53&lt;0),"Стоимость участка",""),IF(OR(AA53="",AA53&lt;0),"Строительство",""),IF(OR(AB53="",AB53&lt;0),"Налоги и резерв",""),IF(OR(AC53="",AC53&lt;0),"Ожидаемая продажа",""),IF(OR(AD53="",AD53&lt;=0),"Капитал инвестора",""),IF(OR(AE53="",AE53&lt;=0,AE53&gt;600),"Срок в месяцах",""),IF(OR(AF53="",AF53&lt;0,AF53&gt;100),"Приоритетная доходность",""),IF(OR(AG53="",AG53&lt;0,AG53&gt;100),"Доля платформы",""),IF(AND(Z53&lt;&gt;"",AA53&lt;&gt;"",AB53&lt;&gt;"",AD53&lt;&gt;"",OR((Z53+AA53+AB53)&lt;=0,AD53&gt;(Z53+AA53+AB53))),"Капитал инвестора больше бюджета",""))))</f>
        <v/>
      </c>
      <c r="AU53" s="35">
        <f>IF(NOT(COUNTA(A53:AS53)&gt;0),"",IF(TEXTJOIN(", ",TRUE,IF(AO53="","Описание",""),IF(AND(AL53&lt;&gt;"",AL53&gt;=1,AL53&lt;5),"Фото меньше 5",""),IF(AN53="","Видео",""),IF(H53="","Кадастровый номер",""),IF(AM53="","Ссылка на фото",""),IF(W53="","Цель продавца",""),IF(AJ53="","Лицензия",""),IF(AK53="","Допущения и источники",""))="","",TEXTJOIN(", ",TRUE,IF(AO53="","Описание",""),IF(AND(AL53&lt;&gt;"",AL53&gt;=1,AL53&lt;5),"Фото меньше 5",""),IF(AN53="","Видео",""),IF(H53="","Кадастровый номер",""),IF(AM53="","Ссылка на фото",""),IF(W53="","Цель продавца",""),IF(AJ53="","Лицензия",""),IF(AK53="","Допущения и источники",""))))</f>
        <v/>
      </c>
      <c r="AV53" s="35">
        <f>IF(NOT(COUNTA(A53:AS53)&gt;0),"",IF(AT53="","Можно публиковать","Не хватает"))</f>
        <v/>
      </c>
    </row>
    <row r="54" ht="22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7" t="n"/>
      <c r="K54" s="37" t="n"/>
      <c r="L54" s="37" t="n"/>
      <c r="M54" s="38" t="n"/>
      <c r="N54" s="38" t="n"/>
      <c r="O54" s="38" t="n"/>
      <c r="P54" s="38" t="n"/>
      <c r="Q54" s="38" t="n"/>
      <c r="R54" s="38" t="n"/>
      <c r="S54" s="36" t="n"/>
      <c r="T54" s="36" t="n"/>
      <c r="U54" s="36" t="n"/>
      <c r="V54" s="36" t="n"/>
      <c r="W54" s="36" t="n"/>
      <c r="X54" s="37" t="n"/>
      <c r="Y54" s="37" t="n"/>
      <c r="Z54" s="39" t="n"/>
      <c r="AA54" s="39" t="n"/>
      <c r="AB54" s="39" t="n"/>
      <c r="AC54" s="39" t="n"/>
      <c r="AD54" s="39" t="n"/>
      <c r="AE54" s="38" t="n"/>
      <c r="AF54" s="44" t="n"/>
      <c r="AG54" s="44" t="n"/>
      <c r="AH54" s="43">
        <f>IF(AND(Z54&lt;&gt;"",AA54&lt;&gt;"",AB54&lt;&gt;""),Z54+AA54+AB54,"")</f>
        <v/>
      </c>
      <c r="AI54" s="43">
        <f>IF(AND(AND(Z54&lt;&gt;"",AA54&lt;&gt;"",AB54&lt;&gt;""),AC54&lt;&gt;""),AC54-(Z54+AA54+AB54),"")</f>
        <v/>
      </c>
      <c r="AJ54" s="36" t="n"/>
      <c r="AK54" s="36" t="n"/>
      <c r="AL54" s="38" t="n"/>
      <c r="AM54" s="36" t="n"/>
      <c r="AN54" s="36" t="n"/>
      <c r="AO54" s="36" t="n"/>
      <c r="AP54" s="36" t="n"/>
      <c r="AQ54" s="36" t="n"/>
      <c r="AR54" s="36" t="n"/>
      <c r="AS54" s="36" t="n"/>
      <c r="AT54" s="35">
        <f>IF(NOT(COUNTA(A54:AS54)&gt;0),"",IF(TEXTJOIN(", ",TRUE,IF(B54="","Название",""),IF(C54="","Тип недвижимости",""),IF(D54="","Страна",""),IF(E54="","Город",""),IF(F54="","Улица",""),IF(I54="","Валюта",""),IF(OR(AL54="",AL54&lt;1),"Хотя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земли",""),IF(OR(AQ54="",AQ54="Нет"),"Право собственности",""),IF(OR(AR54="",AR54="Нет"),"Справка об отсутствии обременений",""),IF(OR(X54="",X54&lt;=0),"Площадь участка проекта",""),IF(OR(Y54="",Y54&lt;=0),"Площадь строительства",""),IF(OR(Z54="",Z54&lt;0),"Стоимость участка",""),IF(OR(AA54="",AA54&lt;0),"Строительство",""),IF(OR(AB54="",AB54&lt;0),"Налоги и резерв",""),IF(OR(AC54="",AC54&lt;0),"Ожидаемая продажа",""),IF(OR(AD54="",AD54&lt;=0),"Капитал инвестора",""),IF(OR(AE54="",AE54&lt;=0,AE54&gt;600),"Срок в месяцах",""),IF(OR(AF54="",AF54&lt;0,AF54&gt;100),"Приоритетная доходность",""),IF(OR(AG54="",AG54&lt;0,AG54&gt;100),"Доля платформы",""),IF(AND(Z54&lt;&gt;"",AA54&lt;&gt;"",AB54&lt;&gt;"",AD54&lt;&gt;"",OR((Z54+AA54+AB54)&lt;=0,AD54&gt;(Z54+AA54+AB54))),"Капитал инвестора больше бюджета",""))="","",TEXTJOIN(", ",TRUE,IF(B54="","Название",""),IF(C54="","Тип недвижимости",""),IF(D54="","Страна",""),IF(E54="","Город",""),IF(F54="","Улица",""),IF(I54="","Валюта",""),IF(OR(AL54="",AL54&lt;1),"Хотя бы 1 фото",""),IF(AND(OR(C54="Квартира",C54="Апартаменты",C54="Дом",C54="Вилла",C54="Коммерческая"),J54=""),"Площадь",""),IF(AND(OR(C54="Квартира",C54="Апартаменты"),K54=""),"Жилая площадь",""),IF(AND(OR(C54="Дом",C54="Вилла",C54="Земля"),L54=""),"Площадь участка",""),IF(AND(OR(C54="Квартира",C54="Апартаменты"),M54=""),"Комнаты",""),IF(AND(OR(C54="Дом",C54="Вилла"),N54=""),"Спальни",""),IF(AND(OR(C54="Квартира",C54="Апартаменты",C54="Дом",C54="Вилла"),O54=""),"Ванные",""),IF(AND(OR(C54="Квартира",C54="Апартаменты"),P54=""),"Этаж",""),IF(AND(OR(OR(C54="Квартира",C54="Апартаменты"),OR(C54="Дом",C54="Вилла")),Q54=""),"Этажей",""),IF(AND(OR(OR(C54="Квартира",C54="Апартаменты"),OR(C54="Дом",C54="Вилла")),OR(R54="",R54&gt;YEAR(TODAY()))),"Год постройки",""),IF(AND(P54&lt;&gt;"",Q54&lt;&gt;"",P54&gt;Q54),"Этаж больше этажности",""),IF(AND(OR(C54="Квартира",C54="Апартаменты",C54="Дом",C54="Вилла"),S54=""),"Материал",""),IF(AND(OR(C54="Коммерческая"),U54=""),"Тип коммерции",""),IF(AND(OR(C54="Земля"),V54=""),"Назначение земли",""),IF(OR(AQ54="",AQ54="Нет"),"Право собственности",""),IF(OR(AR54="",AR54="Нет"),"Справка об отсутствии обременений",""),IF(OR(X54="",X54&lt;=0),"Площадь участка проекта",""),IF(OR(Y54="",Y54&lt;=0),"Площадь строительства",""),IF(OR(Z54="",Z54&lt;0),"Стоимость участка",""),IF(OR(AA54="",AA54&lt;0),"Строительство",""),IF(OR(AB54="",AB54&lt;0),"Налоги и резерв",""),IF(OR(AC54="",AC54&lt;0),"Ожидаемая продажа",""),IF(OR(AD54="",AD54&lt;=0),"Капитал инвестора",""),IF(OR(AE54="",AE54&lt;=0,AE54&gt;600),"Срок в месяцах",""),IF(OR(AF54="",AF54&lt;0,AF54&gt;100),"Приоритетная доходность",""),IF(OR(AG54="",AG54&lt;0,AG54&gt;100),"Доля платформы",""),IF(AND(Z54&lt;&gt;"",AA54&lt;&gt;"",AB54&lt;&gt;"",AD54&lt;&gt;"",OR((Z54+AA54+AB54)&lt;=0,AD54&gt;(Z54+AA54+AB54))),"Капитал инвестора больше бюджета",""))))</f>
        <v/>
      </c>
      <c r="AU54" s="35">
        <f>IF(NOT(COUNTA(A54:AS54)&gt;0),"",IF(TEXTJOIN(", ",TRUE,IF(AO54="","Описание",""),IF(AND(AL54&lt;&gt;"",AL54&gt;=1,AL54&lt;5),"Фото меньше 5",""),IF(AN54="","Видео",""),IF(H54="","Кадастровый номер",""),IF(AM54="","Ссылка на фото",""),IF(W54="","Цель продавца",""),IF(AJ54="","Лицензия",""),IF(AK54="","Допущения и источники",""))="","",TEXTJOIN(", ",TRUE,IF(AO54="","Описание",""),IF(AND(AL54&lt;&gt;"",AL54&gt;=1,AL54&lt;5),"Фото меньше 5",""),IF(AN54="","Видео",""),IF(H54="","Кадастровый номер",""),IF(AM54="","Ссылка на фото",""),IF(W54="","Цель продавца",""),IF(AJ54="","Лицензия",""),IF(AK54="","Допущения и источники",""))))</f>
        <v/>
      </c>
      <c r="AV54" s="35">
        <f>IF(NOT(COUNTA(A54:AS54)&gt;0),"",IF(AT54="","Можно публиковать","Не хватает"))</f>
        <v/>
      </c>
    </row>
    <row r="55" ht="22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 t="n"/>
      <c r="K55" s="31" t="n"/>
      <c r="L55" s="31" t="n"/>
      <c r="M55" s="32" t="n"/>
      <c r="N55" s="32" t="n"/>
      <c r="O55" s="32" t="n"/>
      <c r="P55" s="32" t="n"/>
      <c r="Q55" s="32" t="n"/>
      <c r="R55" s="32" t="n"/>
      <c r="S55" s="30" t="n"/>
      <c r="T55" s="30" t="n"/>
      <c r="U55" s="30" t="n"/>
      <c r="V55" s="30" t="n"/>
      <c r="W55" s="30" t="n"/>
      <c r="X55" s="31" t="n"/>
      <c r="Y55" s="31" t="n"/>
      <c r="Z55" s="33" t="n"/>
      <c r="AA55" s="33" t="n"/>
      <c r="AB55" s="33" t="n"/>
      <c r="AC55" s="33" t="n"/>
      <c r="AD55" s="33" t="n"/>
      <c r="AE55" s="32" t="n"/>
      <c r="AF55" s="42" t="n"/>
      <c r="AG55" s="42" t="n"/>
      <c r="AH55" s="43">
        <f>IF(AND(Z55&lt;&gt;"",AA55&lt;&gt;"",AB55&lt;&gt;""),Z55+AA55+AB55,"")</f>
        <v/>
      </c>
      <c r="AI55" s="43">
        <f>IF(AND(AND(Z55&lt;&gt;"",AA55&lt;&gt;"",AB55&lt;&gt;""),AC55&lt;&gt;""),AC55-(Z55+AA55+AB55),"")</f>
        <v/>
      </c>
      <c r="AJ55" s="30" t="n"/>
      <c r="AK55" s="30" t="n"/>
      <c r="AL55" s="32" t="n"/>
      <c r="AM55" s="30" t="n"/>
      <c r="AN55" s="30" t="n"/>
      <c r="AO55" s="30" t="n"/>
      <c r="AP55" s="30" t="n"/>
      <c r="AQ55" s="30" t="n"/>
      <c r="AR55" s="30" t="n"/>
      <c r="AS55" s="30" t="n"/>
      <c r="AT55" s="35">
        <f>IF(NOT(COUNTA(A55:AS55)&gt;0),"",IF(TEXTJOIN(", ",TRUE,IF(B55="","Название",""),IF(C55="","Тип недвижимости",""),IF(D55="","Страна",""),IF(E55="","Город",""),IF(F55="","Улица",""),IF(I55="","Валюта",""),IF(OR(AL55="",AL55&lt;1),"Хотя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земли",""),IF(OR(AQ55="",AQ55="Нет"),"Право собственности",""),IF(OR(AR55="",AR55="Нет"),"Справка об отсутствии обременений",""),IF(OR(X55="",X55&lt;=0),"Площадь участка проекта",""),IF(OR(Y55="",Y55&lt;=0),"Площадь строительства",""),IF(OR(Z55="",Z55&lt;0),"Стоимость участка",""),IF(OR(AA55="",AA55&lt;0),"Строительство",""),IF(OR(AB55="",AB55&lt;0),"Налоги и резерв",""),IF(OR(AC55="",AC55&lt;0),"Ожидаемая продажа",""),IF(OR(AD55="",AD55&lt;=0),"Капитал инвестора",""),IF(OR(AE55="",AE55&lt;=0,AE55&gt;600),"Срок в месяцах",""),IF(OR(AF55="",AF55&lt;0,AF55&gt;100),"Приоритетная доходность",""),IF(OR(AG55="",AG55&lt;0,AG55&gt;100),"Доля платформы",""),IF(AND(Z55&lt;&gt;"",AA55&lt;&gt;"",AB55&lt;&gt;"",AD55&lt;&gt;"",OR((Z55+AA55+AB55)&lt;=0,AD55&gt;(Z55+AA55+AB55))),"Капитал инвестора больше бюджета",""))="","",TEXTJOIN(", ",TRUE,IF(B55="","Название",""),IF(C55="","Тип недвижимости",""),IF(D55="","Страна",""),IF(E55="","Город",""),IF(F55="","Улица",""),IF(I55="","Валюта",""),IF(OR(AL55="",AL55&lt;1),"Хотя бы 1 фото",""),IF(AND(OR(C55="Квартира",C55="Апартаменты",C55="Дом",C55="Вилла",C55="Коммерческая"),J55=""),"Площадь",""),IF(AND(OR(C55="Квартира",C55="Апартаменты"),K55=""),"Жилая площадь",""),IF(AND(OR(C55="Дом",C55="Вилла",C55="Земля"),L55=""),"Площадь участка",""),IF(AND(OR(C55="Квартира",C55="Апартаменты"),M55=""),"Комнаты",""),IF(AND(OR(C55="Дом",C55="Вилла"),N55=""),"Спальни",""),IF(AND(OR(C55="Квартира",C55="Апартаменты",C55="Дом",C55="Вилла"),O55=""),"Ванные",""),IF(AND(OR(C55="Квартира",C55="Апартаменты"),P55=""),"Этаж",""),IF(AND(OR(OR(C55="Квартира",C55="Апартаменты"),OR(C55="Дом",C55="Вилла")),Q55=""),"Этажей",""),IF(AND(OR(OR(C55="Квартира",C55="Апартаменты"),OR(C55="Дом",C55="Вилла")),OR(R55="",R55&gt;YEAR(TODAY()))),"Год постройки",""),IF(AND(P55&lt;&gt;"",Q55&lt;&gt;"",P55&gt;Q55),"Этаж больше этажности",""),IF(AND(OR(C55="Квартира",C55="Апартаменты",C55="Дом",C55="Вилла"),S55=""),"Материал",""),IF(AND(OR(C55="Коммерческая"),U55=""),"Тип коммерции",""),IF(AND(OR(C55="Земля"),V55=""),"Назначение земли",""),IF(OR(AQ55="",AQ55="Нет"),"Право собственности",""),IF(OR(AR55="",AR55="Нет"),"Справка об отсутствии обременений",""),IF(OR(X55="",X55&lt;=0),"Площадь участка проекта",""),IF(OR(Y55="",Y55&lt;=0),"Площадь строительства",""),IF(OR(Z55="",Z55&lt;0),"Стоимость участка",""),IF(OR(AA55="",AA55&lt;0),"Строительство",""),IF(OR(AB55="",AB55&lt;0),"Налоги и резерв",""),IF(OR(AC55="",AC55&lt;0),"Ожидаемая продажа",""),IF(OR(AD55="",AD55&lt;=0),"Капитал инвестора",""),IF(OR(AE55="",AE55&lt;=0,AE55&gt;600),"Срок в месяцах",""),IF(OR(AF55="",AF55&lt;0,AF55&gt;100),"Приоритетная доходность",""),IF(OR(AG55="",AG55&lt;0,AG55&gt;100),"Доля платформы",""),IF(AND(Z55&lt;&gt;"",AA55&lt;&gt;"",AB55&lt;&gt;"",AD55&lt;&gt;"",OR((Z55+AA55+AB55)&lt;=0,AD55&gt;(Z55+AA55+AB55))),"Капитал инвестора больше бюджета",""))))</f>
        <v/>
      </c>
      <c r="AU55" s="35">
        <f>IF(NOT(COUNTA(A55:AS55)&gt;0),"",IF(TEXTJOIN(", ",TRUE,IF(AO55="","Описание",""),IF(AND(AL55&lt;&gt;"",AL55&gt;=1,AL55&lt;5),"Фото меньше 5",""),IF(AN55="","Видео",""),IF(H55="","Кадастровый номер",""),IF(AM55="","Ссылка на фото",""),IF(W55="","Цель продавца",""),IF(AJ55="","Лицензия",""),IF(AK55="","Допущения и источники",""))="","",TEXTJOIN(", ",TRUE,IF(AO55="","Описание",""),IF(AND(AL55&lt;&gt;"",AL55&gt;=1,AL55&lt;5),"Фото меньше 5",""),IF(AN55="","Видео",""),IF(H55="","Кадастровый номер",""),IF(AM55="","Ссылка на фото",""),IF(W55="","Цель продавца",""),IF(AJ55="","Лицензия",""),IF(AK55="","Допущения и источники",""))))</f>
        <v/>
      </c>
      <c r="AV55" s="35">
        <f>IF(NOT(COUNTA(A55:AS55)&gt;0),"",IF(AT55="","Можно публиковать","Не хватает"))</f>
        <v/>
      </c>
    </row>
    <row r="56" ht="22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7" t="n"/>
      <c r="K56" s="37" t="n"/>
      <c r="L56" s="37" t="n"/>
      <c r="M56" s="38" t="n"/>
      <c r="N56" s="38" t="n"/>
      <c r="O56" s="38" t="n"/>
      <c r="P56" s="38" t="n"/>
      <c r="Q56" s="38" t="n"/>
      <c r="R56" s="38" t="n"/>
      <c r="S56" s="36" t="n"/>
      <c r="T56" s="36" t="n"/>
      <c r="U56" s="36" t="n"/>
      <c r="V56" s="36" t="n"/>
      <c r="W56" s="36" t="n"/>
      <c r="X56" s="37" t="n"/>
      <c r="Y56" s="37" t="n"/>
      <c r="Z56" s="39" t="n"/>
      <c r="AA56" s="39" t="n"/>
      <c r="AB56" s="39" t="n"/>
      <c r="AC56" s="39" t="n"/>
      <c r="AD56" s="39" t="n"/>
      <c r="AE56" s="38" t="n"/>
      <c r="AF56" s="44" t="n"/>
      <c r="AG56" s="44" t="n"/>
      <c r="AH56" s="43">
        <f>IF(AND(Z56&lt;&gt;"",AA56&lt;&gt;"",AB56&lt;&gt;""),Z56+AA56+AB56,"")</f>
        <v/>
      </c>
      <c r="AI56" s="43">
        <f>IF(AND(AND(Z56&lt;&gt;"",AA56&lt;&gt;"",AB56&lt;&gt;""),AC56&lt;&gt;""),AC56-(Z56+AA56+AB56),"")</f>
        <v/>
      </c>
      <c r="AJ56" s="36" t="n"/>
      <c r="AK56" s="36" t="n"/>
      <c r="AL56" s="38" t="n"/>
      <c r="AM56" s="36" t="n"/>
      <c r="AN56" s="36" t="n"/>
      <c r="AO56" s="36" t="n"/>
      <c r="AP56" s="36" t="n"/>
      <c r="AQ56" s="36" t="n"/>
      <c r="AR56" s="36" t="n"/>
      <c r="AS56" s="36" t="n"/>
      <c r="AT56" s="35">
        <f>IF(NOT(COUNTA(A56:AS56)&gt;0),"",IF(TEXTJOIN(", ",TRUE,IF(B56="","Название",""),IF(C56="","Тип недвижимости",""),IF(D56="","Страна",""),IF(E56="","Город",""),IF(F56="","Улица",""),IF(I56="","Валюта",""),IF(OR(AL56="",AL56&lt;1),"Хотя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земли",""),IF(OR(AQ56="",AQ56="Нет"),"Право собственности",""),IF(OR(AR56="",AR56="Нет"),"Справка об отсутствии обременений",""),IF(OR(X56="",X56&lt;=0),"Площадь участка проекта",""),IF(OR(Y56="",Y56&lt;=0),"Площадь строительства",""),IF(OR(Z56="",Z56&lt;0),"Стоимость участка",""),IF(OR(AA56="",AA56&lt;0),"Строительство",""),IF(OR(AB56="",AB56&lt;0),"Налоги и резерв",""),IF(OR(AC56="",AC56&lt;0),"Ожидаемая продажа",""),IF(OR(AD56="",AD56&lt;=0),"Капитал инвестора",""),IF(OR(AE56="",AE56&lt;=0,AE56&gt;600),"Срок в месяцах",""),IF(OR(AF56="",AF56&lt;0,AF56&gt;100),"Приоритетная доходность",""),IF(OR(AG56="",AG56&lt;0,AG56&gt;100),"Доля платформы",""),IF(AND(Z56&lt;&gt;"",AA56&lt;&gt;"",AB56&lt;&gt;"",AD56&lt;&gt;"",OR((Z56+AA56+AB56)&lt;=0,AD56&gt;(Z56+AA56+AB56))),"Капитал инвестора больше бюджета",""))="","",TEXTJOIN(", ",TRUE,IF(B56="","Название",""),IF(C56="","Тип недвижимости",""),IF(D56="","Страна",""),IF(E56="","Город",""),IF(F56="","Улица",""),IF(I56="","Валюта",""),IF(OR(AL56="",AL56&lt;1),"Хотя бы 1 фото",""),IF(AND(OR(C56="Квартира",C56="Апартаменты",C56="Дом",C56="Вилла",C56="Коммерческая"),J56=""),"Площадь",""),IF(AND(OR(C56="Квартира",C56="Апартаменты"),K56=""),"Жилая площадь",""),IF(AND(OR(C56="Дом",C56="Вилла",C56="Земля"),L56=""),"Площадь участка",""),IF(AND(OR(C56="Квартира",C56="Апартаменты"),M56=""),"Комнаты",""),IF(AND(OR(C56="Дом",C56="Вилла"),N56=""),"Спальни",""),IF(AND(OR(C56="Квартира",C56="Апартаменты",C56="Дом",C56="Вилла"),O56=""),"Ванные",""),IF(AND(OR(C56="Квартира",C56="Апартаменты"),P56=""),"Этаж",""),IF(AND(OR(OR(C56="Квартира",C56="Апартаменты"),OR(C56="Дом",C56="Вилла")),Q56=""),"Этажей",""),IF(AND(OR(OR(C56="Квартира",C56="Апартаменты"),OR(C56="Дом",C56="Вилла")),OR(R56="",R56&gt;YEAR(TODAY()))),"Год постройки",""),IF(AND(P56&lt;&gt;"",Q56&lt;&gt;"",P56&gt;Q56),"Этаж больше этажности",""),IF(AND(OR(C56="Квартира",C56="Апартаменты",C56="Дом",C56="Вилла"),S56=""),"Материал",""),IF(AND(OR(C56="Коммерческая"),U56=""),"Тип коммерции",""),IF(AND(OR(C56="Земля"),V56=""),"Назначение земли",""),IF(OR(AQ56="",AQ56="Нет"),"Право собственности",""),IF(OR(AR56="",AR56="Нет"),"Справка об отсутствии обременений",""),IF(OR(X56="",X56&lt;=0),"Площадь участка проекта",""),IF(OR(Y56="",Y56&lt;=0),"Площадь строительства",""),IF(OR(Z56="",Z56&lt;0),"Стоимость участка",""),IF(OR(AA56="",AA56&lt;0),"Строительство",""),IF(OR(AB56="",AB56&lt;0),"Налоги и резерв",""),IF(OR(AC56="",AC56&lt;0),"Ожидаемая продажа",""),IF(OR(AD56="",AD56&lt;=0),"Капитал инвестора",""),IF(OR(AE56="",AE56&lt;=0,AE56&gt;600),"Срок в месяцах",""),IF(OR(AF56="",AF56&lt;0,AF56&gt;100),"Приоритетная доходность",""),IF(OR(AG56="",AG56&lt;0,AG56&gt;100),"Доля платформы",""),IF(AND(Z56&lt;&gt;"",AA56&lt;&gt;"",AB56&lt;&gt;"",AD56&lt;&gt;"",OR((Z56+AA56+AB56)&lt;=0,AD56&gt;(Z56+AA56+AB56))),"Капитал инвестора больше бюджета",""))))</f>
        <v/>
      </c>
      <c r="AU56" s="35">
        <f>IF(NOT(COUNTA(A56:AS56)&gt;0),"",IF(TEXTJOIN(", ",TRUE,IF(AO56="","Описание",""),IF(AND(AL56&lt;&gt;"",AL56&gt;=1,AL56&lt;5),"Фото меньше 5",""),IF(AN56="","Видео",""),IF(H56="","Кадастровый номер",""),IF(AM56="","Ссылка на фото",""),IF(W56="","Цель продавца",""),IF(AJ56="","Лицензия",""),IF(AK56="","Допущения и источники",""))="","",TEXTJOIN(", ",TRUE,IF(AO56="","Описание",""),IF(AND(AL56&lt;&gt;"",AL56&gt;=1,AL56&lt;5),"Фото меньше 5",""),IF(AN56="","Видео",""),IF(H56="","Кадастровый номер",""),IF(AM56="","Ссылка на фото",""),IF(W56="","Цель продавца",""),IF(AJ56="","Лицензия",""),IF(AK56="","Допущения и источники",""))))</f>
        <v/>
      </c>
      <c r="AV56" s="35">
        <f>IF(NOT(COUNTA(A56:AS56)&gt;0),"",IF(AT56="","Можно публиковать","Не хватает"))</f>
        <v/>
      </c>
    </row>
    <row r="57" ht="22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  <c r="K57" s="31" t="n"/>
      <c r="L57" s="31" t="n"/>
      <c r="M57" s="32" t="n"/>
      <c r="N57" s="32" t="n"/>
      <c r="O57" s="32" t="n"/>
      <c r="P57" s="32" t="n"/>
      <c r="Q57" s="32" t="n"/>
      <c r="R57" s="32" t="n"/>
      <c r="S57" s="30" t="n"/>
      <c r="T57" s="30" t="n"/>
      <c r="U57" s="30" t="n"/>
      <c r="V57" s="30" t="n"/>
      <c r="W57" s="30" t="n"/>
      <c r="X57" s="31" t="n"/>
      <c r="Y57" s="31" t="n"/>
      <c r="Z57" s="33" t="n"/>
      <c r="AA57" s="33" t="n"/>
      <c r="AB57" s="33" t="n"/>
      <c r="AC57" s="33" t="n"/>
      <c r="AD57" s="33" t="n"/>
      <c r="AE57" s="32" t="n"/>
      <c r="AF57" s="42" t="n"/>
      <c r="AG57" s="42" t="n"/>
      <c r="AH57" s="43">
        <f>IF(AND(Z57&lt;&gt;"",AA57&lt;&gt;"",AB57&lt;&gt;""),Z57+AA57+AB57,"")</f>
        <v/>
      </c>
      <c r="AI57" s="43">
        <f>IF(AND(AND(Z57&lt;&gt;"",AA57&lt;&gt;"",AB57&lt;&gt;""),AC57&lt;&gt;""),AC57-(Z57+AA57+AB57),"")</f>
        <v/>
      </c>
      <c r="AJ57" s="30" t="n"/>
      <c r="AK57" s="30" t="n"/>
      <c r="AL57" s="32" t="n"/>
      <c r="AM57" s="30" t="n"/>
      <c r="AN57" s="30" t="n"/>
      <c r="AO57" s="30" t="n"/>
      <c r="AP57" s="30" t="n"/>
      <c r="AQ57" s="30" t="n"/>
      <c r="AR57" s="30" t="n"/>
      <c r="AS57" s="30" t="n"/>
      <c r="AT57" s="35">
        <f>IF(NOT(COUNTA(A57:AS57)&gt;0),"",IF(TEXTJOIN(", ",TRUE,IF(B57="","Название",""),IF(C57="","Тип недвижимости",""),IF(D57="","Страна",""),IF(E57="","Город",""),IF(F57="","Улица",""),IF(I57="","Валюта",""),IF(OR(AL57="",AL57&lt;1),"Хотя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земли",""),IF(OR(AQ57="",AQ57="Нет"),"Право собственности",""),IF(OR(AR57="",AR57="Нет"),"Справка об отсутствии обременений",""),IF(OR(X57="",X57&lt;=0),"Площадь участка проекта",""),IF(OR(Y57="",Y57&lt;=0),"Площадь строительства",""),IF(OR(Z57="",Z57&lt;0),"Стоимость участка",""),IF(OR(AA57="",AA57&lt;0),"Строительство",""),IF(OR(AB57="",AB57&lt;0),"Налоги и резерв",""),IF(OR(AC57="",AC57&lt;0),"Ожидаемая продажа",""),IF(OR(AD57="",AD57&lt;=0),"Капитал инвестора",""),IF(OR(AE57="",AE57&lt;=0,AE57&gt;600),"Срок в месяцах",""),IF(OR(AF57="",AF57&lt;0,AF57&gt;100),"Приоритетная доходность",""),IF(OR(AG57="",AG57&lt;0,AG57&gt;100),"Доля платформы",""),IF(AND(Z57&lt;&gt;"",AA57&lt;&gt;"",AB57&lt;&gt;"",AD57&lt;&gt;"",OR((Z57+AA57+AB57)&lt;=0,AD57&gt;(Z57+AA57+AB57))),"Капитал инвестора больше бюджета",""))="","",TEXTJOIN(", ",TRUE,IF(B57="","Название",""),IF(C57="","Тип недвижимости",""),IF(D57="","Страна",""),IF(E57="","Город",""),IF(F57="","Улица",""),IF(I57="","Валюта",""),IF(OR(AL57="",AL57&lt;1),"Хотя бы 1 фото",""),IF(AND(OR(C57="Квартира",C57="Апартаменты",C57="Дом",C57="Вилла",C57="Коммерческая"),J57=""),"Площадь",""),IF(AND(OR(C57="Квартира",C57="Апартаменты"),K57=""),"Жилая площадь",""),IF(AND(OR(C57="Дом",C57="Вилла",C57="Земля"),L57=""),"Площадь участка",""),IF(AND(OR(C57="Квартира",C57="Апартаменты"),M57=""),"Комнаты",""),IF(AND(OR(C57="Дом",C57="Вилла"),N57=""),"Спальни",""),IF(AND(OR(C57="Квартира",C57="Апартаменты",C57="Дом",C57="Вилла"),O57=""),"Ванные",""),IF(AND(OR(C57="Квартира",C57="Апартаменты"),P57=""),"Этаж",""),IF(AND(OR(OR(C57="Квартира",C57="Апартаменты"),OR(C57="Дом",C57="Вилла")),Q57=""),"Этажей",""),IF(AND(OR(OR(C57="Квартира",C57="Апартаменты"),OR(C57="Дом",C57="Вилла")),OR(R57="",R57&gt;YEAR(TODAY()))),"Год постройки",""),IF(AND(P57&lt;&gt;"",Q57&lt;&gt;"",P57&gt;Q57),"Этаж больше этажности",""),IF(AND(OR(C57="Квартира",C57="Апартаменты",C57="Дом",C57="Вилла"),S57=""),"Материал",""),IF(AND(OR(C57="Коммерческая"),U57=""),"Тип коммерции",""),IF(AND(OR(C57="Земля"),V57=""),"Назначение земли",""),IF(OR(AQ57="",AQ57="Нет"),"Право собственности",""),IF(OR(AR57="",AR57="Нет"),"Справка об отсутствии обременений",""),IF(OR(X57="",X57&lt;=0),"Площадь участка проекта",""),IF(OR(Y57="",Y57&lt;=0),"Площадь строительства",""),IF(OR(Z57="",Z57&lt;0),"Стоимость участка",""),IF(OR(AA57="",AA57&lt;0),"Строительство",""),IF(OR(AB57="",AB57&lt;0),"Налоги и резерв",""),IF(OR(AC57="",AC57&lt;0),"Ожидаемая продажа",""),IF(OR(AD57="",AD57&lt;=0),"Капитал инвестора",""),IF(OR(AE57="",AE57&lt;=0,AE57&gt;600),"Срок в месяцах",""),IF(OR(AF57="",AF57&lt;0,AF57&gt;100),"Приоритетная доходность",""),IF(OR(AG57="",AG57&lt;0,AG57&gt;100),"Доля платформы",""),IF(AND(Z57&lt;&gt;"",AA57&lt;&gt;"",AB57&lt;&gt;"",AD57&lt;&gt;"",OR((Z57+AA57+AB57)&lt;=0,AD57&gt;(Z57+AA57+AB57))),"Капитал инвестора больше бюджета",""))))</f>
        <v/>
      </c>
      <c r="AU57" s="35">
        <f>IF(NOT(COUNTA(A57:AS57)&gt;0),"",IF(TEXTJOIN(", ",TRUE,IF(AO57="","Описание",""),IF(AND(AL57&lt;&gt;"",AL57&gt;=1,AL57&lt;5),"Фото меньше 5",""),IF(AN57="","Видео",""),IF(H57="","Кадастровый номер",""),IF(AM57="","Ссылка на фото",""),IF(W57="","Цель продавца",""),IF(AJ57="","Лицензия",""),IF(AK57="","Допущения и источники",""))="","",TEXTJOIN(", ",TRUE,IF(AO57="","Описание",""),IF(AND(AL57&lt;&gt;"",AL57&gt;=1,AL57&lt;5),"Фото меньше 5",""),IF(AN57="","Видео",""),IF(H57="","Кадастровый номер",""),IF(AM57="","Ссылка на фото",""),IF(W57="","Цель продавца",""),IF(AJ57="","Лицензия",""),IF(AK57="","Допущения и источники",""))))</f>
        <v/>
      </c>
      <c r="AV57" s="35">
        <f>IF(NOT(COUNTA(A57:AS57)&gt;0),"",IF(AT57="","Можно публиковать","Не хватает"))</f>
        <v/>
      </c>
    </row>
    <row r="58" ht="22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7" t="n"/>
      <c r="K58" s="37" t="n"/>
      <c r="L58" s="37" t="n"/>
      <c r="M58" s="38" t="n"/>
      <c r="N58" s="38" t="n"/>
      <c r="O58" s="38" t="n"/>
      <c r="P58" s="38" t="n"/>
      <c r="Q58" s="38" t="n"/>
      <c r="R58" s="38" t="n"/>
      <c r="S58" s="36" t="n"/>
      <c r="T58" s="36" t="n"/>
      <c r="U58" s="36" t="n"/>
      <c r="V58" s="36" t="n"/>
      <c r="W58" s="36" t="n"/>
      <c r="X58" s="37" t="n"/>
      <c r="Y58" s="37" t="n"/>
      <c r="Z58" s="39" t="n"/>
      <c r="AA58" s="39" t="n"/>
      <c r="AB58" s="39" t="n"/>
      <c r="AC58" s="39" t="n"/>
      <c r="AD58" s="39" t="n"/>
      <c r="AE58" s="38" t="n"/>
      <c r="AF58" s="44" t="n"/>
      <c r="AG58" s="44" t="n"/>
      <c r="AH58" s="43">
        <f>IF(AND(Z58&lt;&gt;"",AA58&lt;&gt;"",AB58&lt;&gt;""),Z58+AA58+AB58,"")</f>
        <v/>
      </c>
      <c r="AI58" s="43">
        <f>IF(AND(AND(Z58&lt;&gt;"",AA58&lt;&gt;"",AB58&lt;&gt;""),AC58&lt;&gt;""),AC58-(Z58+AA58+AB58),"")</f>
        <v/>
      </c>
      <c r="AJ58" s="36" t="n"/>
      <c r="AK58" s="36" t="n"/>
      <c r="AL58" s="38" t="n"/>
      <c r="AM58" s="36" t="n"/>
      <c r="AN58" s="36" t="n"/>
      <c r="AO58" s="36" t="n"/>
      <c r="AP58" s="36" t="n"/>
      <c r="AQ58" s="36" t="n"/>
      <c r="AR58" s="36" t="n"/>
      <c r="AS58" s="36" t="n"/>
      <c r="AT58" s="35">
        <f>IF(NOT(COUNTA(A58:AS58)&gt;0),"",IF(TEXTJOIN(", ",TRUE,IF(B58="","Название",""),IF(C58="","Тип недвижимости",""),IF(D58="","Страна",""),IF(E58="","Город",""),IF(F58="","Улица",""),IF(I58="","Валюта",""),IF(OR(AL58="",AL58&lt;1),"Хотя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земли",""),IF(OR(AQ58="",AQ58="Нет"),"Право собственности",""),IF(OR(AR58="",AR58="Нет"),"Справка об отсутствии обременений",""),IF(OR(X58="",X58&lt;=0),"Площадь участка проекта",""),IF(OR(Y58="",Y58&lt;=0),"Площадь строительства",""),IF(OR(Z58="",Z58&lt;0),"Стоимость участка",""),IF(OR(AA58="",AA58&lt;0),"Строительство",""),IF(OR(AB58="",AB58&lt;0),"Налоги и резерв",""),IF(OR(AC58="",AC58&lt;0),"Ожидаемая продажа",""),IF(OR(AD58="",AD58&lt;=0),"Капитал инвестора",""),IF(OR(AE58="",AE58&lt;=0,AE58&gt;600),"Срок в месяцах",""),IF(OR(AF58="",AF58&lt;0,AF58&gt;100),"Приоритетная доходность",""),IF(OR(AG58="",AG58&lt;0,AG58&gt;100),"Доля платформы",""),IF(AND(Z58&lt;&gt;"",AA58&lt;&gt;"",AB58&lt;&gt;"",AD58&lt;&gt;"",OR((Z58+AA58+AB58)&lt;=0,AD58&gt;(Z58+AA58+AB58))),"Капитал инвестора больше бюджета",""))="","",TEXTJOIN(", ",TRUE,IF(B58="","Название",""),IF(C58="","Тип недвижимости",""),IF(D58="","Страна",""),IF(E58="","Город",""),IF(F58="","Улица",""),IF(I58="","Валюта",""),IF(OR(AL58="",AL58&lt;1),"Хотя бы 1 фото",""),IF(AND(OR(C58="Квартира",C58="Апартаменты",C58="Дом",C58="Вилла",C58="Коммерческая"),J58=""),"Площадь",""),IF(AND(OR(C58="Квартира",C58="Апартаменты"),K58=""),"Жилая площадь",""),IF(AND(OR(C58="Дом",C58="Вилла",C58="Земля"),L58=""),"Площадь участка",""),IF(AND(OR(C58="Квартира",C58="Апартаменты"),M58=""),"Комнаты",""),IF(AND(OR(C58="Дом",C58="Вилла"),N58=""),"Спальни",""),IF(AND(OR(C58="Квартира",C58="Апартаменты",C58="Дом",C58="Вилла"),O58=""),"Ванные",""),IF(AND(OR(C58="Квартира",C58="Апартаменты"),P58=""),"Этаж",""),IF(AND(OR(OR(C58="Квартира",C58="Апартаменты"),OR(C58="Дом",C58="Вилла")),Q58=""),"Этажей",""),IF(AND(OR(OR(C58="Квартира",C58="Апартаменты"),OR(C58="Дом",C58="Вилла")),OR(R58="",R58&gt;YEAR(TODAY()))),"Год постройки",""),IF(AND(P58&lt;&gt;"",Q58&lt;&gt;"",P58&gt;Q58),"Этаж больше этажности",""),IF(AND(OR(C58="Квартира",C58="Апартаменты",C58="Дом",C58="Вилла"),S58=""),"Материал",""),IF(AND(OR(C58="Коммерческая"),U58=""),"Тип коммерции",""),IF(AND(OR(C58="Земля"),V58=""),"Назначение земли",""),IF(OR(AQ58="",AQ58="Нет"),"Право собственности",""),IF(OR(AR58="",AR58="Нет"),"Справка об отсутствии обременений",""),IF(OR(X58="",X58&lt;=0),"Площадь участка проекта",""),IF(OR(Y58="",Y58&lt;=0),"Площадь строительства",""),IF(OR(Z58="",Z58&lt;0),"Стоимость участка",""),IF(OR(AA58="",AA58&lt;0),"Строительство",""),IF(OR(AB58="",AB58&lt;0),"Налоги и резерв",""),IF(OR(AC58="",AC58&lt;0),"Ожидаемая продажа",""),IF(OR(AD58="",AD58&lt;=0),"Капитал инвестора",""),IF(OR(AE58="",AE58&lt;=0,AE58&gt;600),"Срок в месяцах",""),IF(OR(AF58="",AF58&lt;0,AF58&gt;100),"Приоритетная доходность",""),IF(OR(AG58="",AG58&lt;0,AG58&gt;100),"Доля платформы",""),IF(AND(Z58&lt;&gt;"",AA58&lt;&gt;"",AB58&lt;&gt;"",AD58&lt;&gt;"",OR((Z58+AA58+AB58)&lt;=0,AD58&gt;(Z58+AA58+AB58))),"Капитал инвестора больше бюджета",""))))</f>
        <v/>
      </c>
      <c r="AU58" s="35">
        <f>IF(NOT(COUNTA(A58:AS58)&gt;0),"",IF(TEXTJOIN(", ",TRUE,IF(AO58="","Описание",""),IF(AND(AL58&lt;&gt;"",AL58&gt;=1,AL58&lt;5),"Фото меньше 5",""),IF(AN58="","Видео",""),IF(H58="","Кадастровый номер",""),IF(AM58="","Ссылка на фото",""),IF(W58="","Цель продавца",""),IF(AJ58="","Лицензия",""),IF(AK58="","Допущения и источники",""))="","",TEXTJOIN(", ",TRUE,IF(AO58="","Описание",""),IF(AND(AL58&lt;&gt;"",AL58&gt;=1,AL58&lt;5),"Фото меньше 5",""),IF(AN58="","Видео",""),IF(H58="","Кадастровый номер",""),IF(AM58="","Ссылка на фото",""),IF(W58="","Цель продавца",""),IF(AJ58="","Лицензия",""),IF(AK58="","Допущения и источники",""))))</f>
        <v/>
      </c>
      <c r="AV58" s="35">
        <f>IF(NOT(COUNTA(A58:AS58)&gt;0),"",IF(AT58="","Можно публиковать","Не хватает"))</f>
        <v/>
      </c>
    </row>
    <row r="59" ht="22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  <c r="K59" s="31" t="n"/>
      <c r="L59" s="31" t="n"/>
      <c r="M59" s="32" t="n"/>
      <c r="N59" s="32" t="n"/>
      <c r="O59" s="32" t="n"/>
      <c r="P59" s="32" t="n"/>
      <c r="Q59" s="32" t="n"/>
      <c r="R59" s="32" t="n"/>
      <c r="S59" s="30" t="n"/>
      <c r="T59" s="30" t="n"/>
      <c r="U59" s="30" t="n"/>
      <c r="V59" s="30" t="n"/>
      <c r="W59" s="30" t="n"/>
      <c r="X59" s="31" t="n"/>
      <c r="Y59" s="31" t="n"/>
      <c r="Z59" s="33" t="n"/>
      <c r="AA59" s="33" t="n"/>
      <c r="AB59" s="33" t="n"/>
      <c r="AC59" s="33" t="n"/>
      <c r="AD59" s="33" t="n"/>
      <c r="AE59" s="32" t="n"/>
      <c r="AF59" s="42" t="n"/>
      <c r="AG59" s="42" t="n"/>
      <c r="AH59" s="43">
        <f>IF(AND(Z59&lt;&gt;"",AA59&lt;&gt;"",AB59&lt;&gt;""),Z59+AA59+AB59,"")</f>
        <v/>
      </c>
      <c r="AI59" s="43">
        <f>IF(AND(AND(Z59&lt;&gt;"",AA59&lt;&gt;"",AB59&lt;&gt;""),AC59&lt;&gt;""),AC59-(Z59+AA59+AB59),"")</f>
        <v/>
      </c>
      <c r="AJ59" s="30" t="n"/>
      <c r="AK59" s="30" t="n"/>
      <c r="AL59" s="32" t="n"/>
      <c r="AM59" s="30" t="n"/>
      <c r="AN59" s="30" t="n"/>
      <c r="AO59" s="30" t="n"/>
      <c r="AP59" s="30" t="n"/>
      <c r="AQ59" s="30" t="n"/>
      <c r="AR59" s="30" t="n"/>
      <c r="AS59" s="30" t="n"/>
      <c r="AT59" s="35">
        <f>IF(NOT(COUNTA(A59:AS59)&gt;0),"",IF(TEXTJOIN(", ",TRUE,IF(B59="","Название",""),IF(C59="","Тип недвижимости",""),IF(D59="","Страна",""),IF(E59="","Город",""),IF(F59="","Улица",""),IF(I59="","Валюта",""),IF(OR(AL59="",AL59&lt;1),"Хотя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земли",""),IF(OR(AQ59="",AQ59="Нет"),"Право собственности",""),IF(OR(AR59="",AR59="Нет"),"Справка об отсутствии обременений",""),IF(OR(X59="",X59&lt;=0),"Площадь участка проекта",""),IF(OR(Y59="",Y59&lt;=0),"Площадь строительства",""),IF(OR(Z59="",Z59&lt;0),"Стоимость участка",""),IF(OR(AA59="",AA59&lt;0),"Строительство",""),IF(OR(AB59="",AB59&lt;0),"Налоги и резерв",""),IF(OR(AC59="",AC59&lt;0),"Ожидаемая продажа",""),IF(OR(AD59="",AD59&lt;=0),"Капитал инвестора",""),IF(OR(AE59="",AE59&lt;=0,AE59&gt;600),"Срок в месяцах",""),IF(OR(AF59="",AF59&lt;0,AF59&gt;100),"Приоритетная доходность",""),IF(OR(AG59="",AG59&lt;0,AG59&gt;100),"Доля платформы",""),IF(AND(Z59&lt;&gt;"",AA59&lt;&gt;"",AB59&lt;&gt;"",AD59&lt;&gt;"",OR((Z59+AA59+AB59)&lt;=0,AD59&gt;(Z59+AA59+AB59))),"Капитал инвестора больше бюджета",""))="","",TEXTJOIN(", ",TRUE,IF(B59="","Название",""),IF(C59="","Тип недвижимости",""),IF(D59="","Страна",""),IF(E59="","Город",""),IF(F59="","Улица",""),IF(I59="","Валюта",""),IF(OR(AL59="",AL59&lt;1),"Хотя бы 1 фото",""),IF(AND(OR(C59="Квартира",C59="Апартаменты",C59="Дом",C59="Вилла",C59="Коммерческая"),J59=""),"Площадь",""),IF(AND(OR(C59="Квартира",C59="Апартаменты"),K59=""),"Жилая площадь",""),IF(AND(OR(C59="Дом",C59="Вилла",C59="Земля"),L59=""),"Площадь участка",""),IF(AND(OR(C59="Квартира",C59="Апартаменты"),M59=""),"Комнаты",""),IF(AND(OR(C59="Дом",C59="Вилла"),N59=""),"Спальни",""),IF(AND(OR(C59="Квартира",C59="Апартаменты",C59="Дом",C59="Вилла"),O59=""),"Ванные",""),IF(AND(OR(C59="Квартира",C59="Апартаменты"),P59=""),"Этаж",""),IF(AND(OR(OR(C59="Квартира",C59="Апартаменты"),OR(C59="Дом",C59="Вилла")),Q59=""),"Этажей",""),IF(AND(OR(OR(C59="Квартира",C59="Апартаменты"),OR(C59="Дом",C59="Вилла")),OR(R59="",R59&gt;YEAR(TODAY()))),"Год постройки",""),IF(AND(P59&lt;&gt;"",Q59&lt;&gt;"",P59&gt;Q59),"Этаж больше этажности",""),IF(AND(OR(C59="Квартира",C59="Апартаменты",C59="Дом",C59="Вилла"),S59=""),"Материал",""),IF(AND(OR(C59="Коммерческая"),U59=""),"Тип коммерции",""),IF(AND(OR(C59="Земля"),V59=""),"Назначение земли",""),IF(OR(AQ59="",AQ59="Нет"),"Право собственности",""),IF(OR(AR59="",AR59="Нет"),"Справка об отсутствии обременений",""),IF(OR(X59="",X59&lt;=0),"Площадь участка проекта",""),IF(OR(Y59="",Y59&lt;=0),"Площадь строительства",""),IF(OR(Z59="",Z59&lt;0),"Стоимость участка",""),IF(OR(AA59="",AA59&lt;0),"Строительство",""),IF(OR(AB59="",AB59&lt;0),"Налоги и резерв",""),IF(OR(AC59="",AC59&lt;0),"Ожидаемая продажа",""),IF(OR(AD59="",AD59&lt;=0),"Капитал инвестора",""),IF(OR(AE59="",AE59&lt;=0,AE59&gt;600),"Срок в месяцах",""),IF(OR(AF59="",AF59&lt;0,AF59&gt;100),"Приоритетная доходность",""),IF(OR(AG59="",AG59&lt;0,AG59&gt;100),"Доля платформы",""),IF(AND(Z59&lt;&gt;"",AA59&lt;&gt;"",AB59&lt;&gt;"",AD59&lt;&gt;"",OR((Z59+AA59+AB59)&lt;=0,AD59&gt;(Z59+AA59+AB59))),"Капитал инвестора больше бюджета",""))))</f>
        <v/>
      </c>
      <c r="AU59" s="35">
        <f>IF(NOT(COUNTA(A59:AS59)&gt;0),"",IF(TEXTJOIN(", ",TRUE,IF(AO59="","Описание",""),IF(AND(AL59&lt;&gt;"",AL59&gt;=1,AL59&lt;5),"Фото меньше 5",""),IF(AN59="","Видео",""),IF(H59="","Кадастровый номер",""),IF(AM59="","Ссылка на фото",""),IF(W59="","Цель продавца",""),IF(AJ59="","Лицензия",""),IF(AK59="","Допущения и источники",""))="","",TEXTJOIN(", ",TRUE,IF(AO59="","Описание",""),IF(AND(AL59&lt;&gt;"",AL59&gt;=1,AL59&lt;5),"Фото меньше 5",""),IF(AN59="","Видео",""),IF(H59="","Кадастровый номер",""),IF(AM59="","Ссылка на фото",""),IF(W59="","Цель продавца",""),IF(AJ59="","Лицензия",""),IF(AK59="","Допущения и источники",""))))</f>
        <v/>
      </c>
      <c r="AV59" s="35">
        <f>IF(NOT(COUNTA(A59:AS59)&gt;0),"",IF(AT59="","Можно публиковать","Не хватает"))</f>
        <v/>
      </c>
    </row>
    <row r="60" ht="22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7" t="n"/>
      <c r="K60" s="37" t="n"/>
      <c r="L60" s="37" t="n"/>
      <c r="M60" s="38" t="n"/>
      <c r="N60" s="38" t="n"/>
      <c r="O60" s="38" t="n"/>
      <c r="P60" s="38" t="n"/>
      <c r="Q60" s="38" t="n"/>
      <c r="R60" s="38" t="n"/>
      <c r="S60" s="36" t="n"/>
      <c r="T60" s="36" t="n"/>
      <c r="U60" s="36" t="n"/>
      <c r="V60" s="36" t="n"/>
      <c r="W60" s="36" t="n"/>
      <c r="X60" s="37" t="n"/>
      <c r="Y60" s="37" t="n"/>
      <c r="Z60" s="39" t="n"/>
      <c r="AA60" s="39" t="n"/>
      <c r="AB60" s="39" t="n"/>
      <c r="AC60" s="39" t="n"/>
      <c r="AD60" s="39" t="n"/>
      <c r="AE60" s="38" t="n"/>
      <c r="AF60" s="44" t="n"/>
      <c r="AG60" s="44" t="n"/>
      <c r="AH60" s="43">
        <f>IF(AND(Z60&lt;&gt;"",AA60&lt;&gt;"",AB60&lt;&gt;""),Z60+AA60+AB60,"")</f>
        <v/>
      </c>
      <c r="AI60" s="43">
        <f>IF(AND(AND(Z60&lt;&gt;"",AA60&lt;&gt;"",AB60&lt;&gt;""),AC60&lt;&gt;""),AC60-(Z60+AA60+AB60),"")</f>
        <v/>
      </c>
      <c r="AJ60" s="36" t="n"/>
      <c r="AK60" s="36" t="n"/>
      <c r="AL60" s="38" t="n"/>
      <c r="AM60" s="36" t="n"/>
      <c r="AN60" s="36" t="n"/>
      <c r="AO60" s="36" t="n"/>
      <c r="AP60" s="36" t="n"/>
      <c r="AQ60" s="36" t="n"/>
      <c r="AR60" s="36" t="n"/>
      <c r="AS60" s="36" t="n"/>
      <c r="AT60" s="35">
        <f>IF(NOT(COUNTA(A60:AS60)&gt;0),"",IF(TEXTJOIN(", ",TRUE,IF(B60="","Название",""),IF(C60="","Тип недвижимости",""),IF(D60="","Страна",""),IF(E60="","Город",""),IF(F60="","Улица",""),IF(I60="","Валюта",""),IF(OR(AL60="",AL60&lt;1),"Хотя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земли",""),IF(OR(AQ60="",AQ60="Нет"),"Право собственности",""),IF(OR(AR60="",AR60="Нет"),"Справка об отсутствии обременений",""),IF(OR(X60="",X60&lt;=0),"Площадь участка проекта",""),IF(OR(Y60="",Y60&lt;=0),"Площадь строительства",""),IF(OR(Z60="",Z60&lt;0),"Стоимость участка",""),IF(OR(AA60="",AA60&lt;0),"Строительство",""),IF(OR(AB60="",AB60&lt;0),"Налоги и резерв",""),IF(OR(AC60="",AC60&lt;0),"Ожидаемая продажа",""),IF(OR(AD60="",AD60&lt;=0),"Капитал инвестора",""),IF(OR(AE60="",AE60&lt;=0,AE60&gt;600),"Срок в месяцах",""),IF(OR(AF60="",AF60&lt;0,AF60&gt;100),"Приоритетная доходность",""),IF(OR(AG60="",AG60&lt;0,AG60&gt;100),"Доля платформы",""),IF(AND(Z60&lt;&gt;"",AA60&lt;&gt;"",AB60&lt;&gt;"",AD60&lt;&gt;"",OR((Z60+AA60+AB60)&lt;=0,AD60&gt;(Z60+AA60+AB60))),"Капитал инвестора больше бюджета",""))="","",TEXTJOIN(", ",TRUE,IF(B60="","Название",""),IF(C60="","Тип недвижимости",""),IF(D60="","Страна",""),IF(E60="","Город",""),IF(F60="","Улица",""),IF(I60="","Валюта",""),IF(OR(AL60="",AL60&lt;1),"Хотя бы 1 фото",""),IF(AND(OR(C60="Квартира",C60="Апартаменты",C60="Дом",C60="Вилла",C60="Коммерческая"),J60=""),"Площадь",""),IF(AND(OR(C60="Квартира",C60="Апартаменты"),K60=""),"Жилая площадь",""),IF(AND(OR(C60="Дом",C60="Вилла",C60="Земля"),L60=""),"Площадь участка",""),IF(AND(OR(C60="Квартира",C60="Апартаменты"),M60=""),"Комнаты",""),IF(AND(OR(C60="Дом",C60="Вилла"),N60=""),"Спальни",""),IF(AND(OR(C60="Квартира",C60="Апартаменты",C60="Дом",C60="Вилла"),O60=""),"Ванные",""),IF(AND(OR(C60="Квартира",C60="Апартаменты"),P60=""),"Этаж",""),IF(AND(OR(OR(C60="Квартира",C60="Апартаменты"),OR(C60="Дом",C60="Вилла")),Q60=""),"Этажей",""),IF(AND(OR(OR(C60="Квартира",C60="Апартаменты"),OR(C60="Дом",C60="Вилла")),OR(R60="",R60&gt;YEAR(TODAY()))),"Год постройки",""),IF(AND(P60&lt;&gt;"",Q60&lt;&gt;"",P60&gt;Q60),"Этаж больше этажности",""),IF(AND(OR(C60="Квартира",C60="Апартаменты",C60="Дом",C60="Вилла"),S60=""),"Материал",""),IF(AND(OR(C60="Коммерческая"),U60=""),"Тип коммерции",""),IF(AND(OR(C60="Земля"),V60=""),"Назначение земли",""),IF(OR(AQ60="",AQ60="Нет"),"Право собственности",""),IF(OR(AR60="",AR60="Нет"),"Справка об отсутствии обременений",""),IF(OR(X60="",X60&lt;=0),"Площадь участка проекта",""),IF(OR(Y60="",Y60&lt;=0),"Площадь строительства",""),IF(OR(Z60="",Z60&lt;0),"Стоимость участка",""),IF(OR(AA60="",AA60&lt;0),"Строительство",""),IF(OR(AB60="",AB60&lt;0),"Налоги и резерв",""),IF(OR(AC60="",AC60&lt;0),"Ожидаемая продажа",""),IF(OR(AD60="",AD60&lt;=0),"Капитал инвестора",""),IF(OR(AE60="",AE60&lt;=0,AE60&gt;600),"Срок в месяцах",""),IF(OR(AF60="",AF60&lt;0,AF60&gt;100),"Приоритетная доходность",""),IF(OR(AG60="",AG60&lt;0,AG60&gt;100),"Доля платформы",""),IF(AND(Z60&lt;&gt;"",AA60&lt;&gt;"",AB60&lt;&gt;"",AD60&lt;&gt;"",OR((Z60+AA60+AB60)&lt;=0,AD60&gt;(Z60+AA60+AB60))),"Капитал инвестора больше бюджета",""))))</f>
        <v/>
      </c>
      <c r="AU60" s="35">
        <f>IF(NOT(COUNTA(A60:AS60)&gt;0),"",IF(TEXTJOIN(", ",TRUE,IF(AO60="","Описание",""),IF(AND(AL60&lt;&gt;"",AL60&gt;=1,AL60&lt;5),"Фото меньше 5",""),IF(AN60="","Видео",""),IF(H60="","Кадастровый номер",""),IF(AM60="","Ссылка на фото",""),IF(W60="","Цель продавца",""),IF(AJ60="","Лицензия",""),IF(AK60="","Допущения и источники",""))="","",TEXTJOIN(", ",TRUE,IF(AO60="","Описание",""),IF(AND(AL60&lt;&gt;"",AL60&gt;=1,AL60&lt;5),"Фото меньше 5",""),IF(AN60="","Видео",""),IF(H60="","Кадастровый номер",""),IF(AM60="","Ссылка на фото",""),IF(W60="","Цель продавца",""),IF(AJ60="","Лицензия",""),IF(AK60="","Допущения и источники",""))))</f>
        <v/>
      </c>
      <c r="AV60" s="35">
        <f>IF(NOT(COUNTA(A60:AS60)&gt;0),"",IF(AT60="","Можно публиковать","Не хватает"))</f>
        <v/>
      </c>
    </row>
    <row r="61" ht="22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 t="n"/>
      <c r="K61" s="31" t="n"/>
      <c r="L61" s="31" t="n"/>
      <c r="M61" s="32" t="n"/>
      <c r="N61" s="32" t="n"/>
      <c r="O61" s="32" t="n"/>
      <c r="P61" s="32" t="n"/>
      <c r="Q61" s="32" t="n"/>
      <c r="R61" s="32" t="n"/>
      <c r="S61" s="30" t="n"/>
      <c r="T61" s="30" t="n"/>
      <c r="U61" s="30" t="n"/>
      <c r="V61" s="30" t="n"/>
      <c r="W61" s="30" t="n"/>
      <c r="X61" s="31" t="n"/>
      <c r="Y61" s="31" t="n"/>
      <c r="Z61" s="33" t="n"/>
      <c r="AA61" s="33" t="n"/>
      <c r="AB61" s="33" t="n"/>
      <c r="AC61" s="33" t="n"/>
      <c r="AD61" s="33" t="n"/>
      <c r="AE61" s="32" t="n"/>
      <c r="AF61" s="42" t="n"/>
      <c r="AG61" s="42" t="n"/>
      <c r="AH61" s="43">
        <f>IF(AND(Z61&lt;&gt;"",AA61&lt;&gt;"",AB61&lt;&gt;""),Z61+AA61+AB61,"")</f>
        <v/>
      </c>
      <c r="AI61" s="43">
        <f>IF(AND(AND(Z61&lt;&gt;"",AA61&lt;&gt;"",AB61&lt;&gt;""),AC61&lt;&gt;""),AC61-(Z61+AA61+AB61),"")</f>
        <v/>
      </c>
      <c r="AJ61" s="30" t="n"/>
      <c r="AK61" s="30" t="n"/>
      <c r="AL61" s="32" t="n"/>
      <c r="AM61" s="30" t="n"/>
      <c r="AN61" s="30" t="n"/>
      <c r="AO61" s="30" t="n"/>
      <c r="AP61" s="30" t="n"/>
      <c r="AQ61" s="30" t="n"/>
      <c r="AR61" s="30" t="n"/>
      <c r="AS61" s="30" t="n"/>
      <c r="AT61" s="35">
        <f>IF(NOT(COUNTA(A61:AS61)&gt;0),"",IF(TEXTJOIN(", ",TRUE,IF(B61="","Название",""),IF(C61="","Тип недвижимости",""),IF(D61="","Страна",""),IF(E61="","Город",""),IF(F61="","Улица",""),IF(I61="","Валюта",""),IF(OR(AL61="",AL61&lt;1),"Хотя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земли",""),IF(OR(AQ61="",AQ61="Нет"),"Право собственности",""),IF(OR(AR61="",AR61="Нет"),"Справка об отсутствии обременений",""),IF(OR(X61="",X61&lt;=0),"Площадь участка проекта",""),IF(OR(Y61="",Y61&lt;=0),"Площадь строительства",""),IF(OR(Z61="",Z61&lt;0),"Стоимость участка",""),IF(OR(AA61="",AA61&lt;0),"Строительство",""),IF(OR(AB61="",AB61&lt;0),"Налоги и резерв",""),IF(OR(AC61="",AC61&lt;0),"Ожидаемая продажа",""),IF(OR(AD61="",AD61&lt;=0),"Капитал инвестора",""),IF(OR(AE61="",AE61&lt;=0,AE61&gt;600),"Срок в месяцах",""),IF(OR(AF61="",AF61&lt;0,AF61&gt;100),"Приоритетная доходность",""),IF(OR(AG61="",AG61&lt;0,AG61&gt;100),"Доля платформы",""),IF(AND(Z61&lt;&gt;"",AA61&lt;&gt;"",AB61&lt;&gt;"",AD61&lt;&gt;"",OR((Z61+AA61+AB61)&lt;=0,AD61&gt;(Z61+AA61+AB61))),"Капитал инвестора больше бюджета",""))="","",TEXTJOIN(", ",TRUE,IF(B61="","Название",""),IF(C61="","Тип недвижимости",""),IF(D61="","Страна",""),IF(E61="","Город",""),IF(F61="","Улица",""),IF(I61="","Валюта",""),IF(OR(AL61="",AL61&lt;1),"Хотя бы 1 фото",""),IF(AND(OR(C61="Квартира",C61="Апартаменты",C61="Дом",C61="Вилла",C61="Коммерческая"),J61=""),"Площадь",""),IF(AND(OR(C61="Квартира",C61="Апартаменты"),K61=""),"Жилая площадь",""),IF(AND(OR(C61="Дом",C61="Вилла",C61="Земля"),L61=""),"Площадь участка",""),IF(AND(OR(C61="Квартира",C61="Апартаменты"),M61=""),"Комнаты",""),IF(AND(OR(C61="Дом",C61="Вилла"),N61=""),"Спальни",""),IF(AND(OR(C61="Квартира",C61="Апартаменты",C61="Дом",C61="Вилла"),O61=""),"Ванные",""),IF(AND(OR(C61="Квартира",C61="Апартаменты"),P61=""),"Этаж",""),IF(AND(OR(OR(C61="Квартира",C61="Апартаменты"),OR(C61="Дом",C61="Вилла")),Q61=""),"Этажей",""),IF(AND(OR(OR(C61="Квартира",C61="Апартаменты"),OR(C61="Дом",C61="Вилла")),OR(R61="",R61&gt;YEAR(TODAY()))),"Год постройки",""),IF(AND(P61&lt;&gt;"",Q61&lt;&gt;"",P61&gt;Q61),"Этаж больше этажности",""),IF(AND(OR(C61="Квартира",C61="Апартаменты",C61="Дом",C61="Вилла"),S61=""),"Материал",""),IF(AND(OR(C61="Коммерческая"),U61=""),"Тип коммерции",""),IF(AND(OR(C61="Земля"),V61=""),"Назначение земли",""),IF(OR(AQ61="",AQ61="Нет"),"Право собственности",""),IF(OR(AR61="",AR61="Нет"),"Справка об отсутствии обременений",""),IF(OR(X61="",X61&lt;=0),"Площадь участка проекта",""),IF(OR(Y61="",Y61&lt;=0),"Площадь строительства",""),IF(OR(Z61="",Z61&lt;0),"Стоимость участка",""),IF(OR(AA61="",AA61&lt;0),"Строительство",""),IF(OR(AB61="",AB61&lt;0),"Налоги и резерв",""),IF(OR(AC61="",AC61&lt;0),"Ожидаемая продажа",""),IF(OR(AD61="",AD61&lt;=0),"Капитал инвестора",""),IF(OR(AE61="",AE61&lt;=0,AE61&gt;600),"Срок в месяцах",""),IF(OR(AF61="",AF61&lt;0,AF61&gt;100),"Приоритетная доходность",""),IF(OR(AG61="",AG61&lt;0,AG61&gt;100),"Доля платформы",""),IF(AND(Z61&lt;&gt;"",AA61&lt;&gt;"",AB61&lt;&gt;"",AD61&lt;&gt;"",OR((Z61+AA61+AB61)&lt;=0,AD61&gt;(Z61+AA61+AB61))),"Капитал инвестора больше бюджета",""))))</f>
        <v/>
      </c>
      <c r="AU61" s="35">
        <f>IF(NOT(COUNTA(A61:AS61)&gt;0),"",IF(TEXTJOIN(", ",TRUE,IF(AO61="","Описание",""),IF(AND(AL61&lt;&gt;"",AL61&gt;=1,AL61&lt;5),"Фото меньше 5",""),IF(AN61="","Видео",""),IF(H61="","Кадастровый номер",""),IF(AM61="","Ссылка на фото",""),IF(W61="","Цель продавца",""),IF(AJ61="","Лицензия",""),IF(AK61="","Допущения и источники",""))="","",TEXTJOIN(", ",TRUE,IF(AO61="","Описание",""),IF(AND(AL61&lt;&gt;"",AL61&gt;=1,AL61&lt;5),"Фото меньше 5",""),IF(AN61="","Видео",""),IF(H61="","Кадастровый номер",""),IF(AM61="","Ссылка на фото",""),IF(W61="","Цель продавца",""),IF(AJ61="","Лицензия",""),IF(AK61="","Допущения и источники",""))))</f>
        <v/>
      </c>
      <c r="AV61" s="35">
        <f>IF(NOT(COUNTA(A61:AS61)&gt;0),"",IF(AT61="","Можно публиковать","Не хватает"))</f>
        <v/>
      </c>
    </row>
    <row r="62" ht="22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7" t="n"/>
      <c r="K62" s="37" t="n"/>
      <c r="L62" s="37" t="n"/>
      <c r="M62" s="38" t="n"/>
      <c r="N62" s="38" t="n"/>
      <c r="O62" s="38" t="n"/>
      <c r="P62" s="38" t="n"/>
      <c r="Q62" s="38" t="n"/>
      <c r="R62" s="38" t="n"/>
      <c r="S62" s="36" t="n"/>
      <c r="T62" s="36" t="n"/>
      <c r="U62" s="36" t="n"/>
      <c r="V62" s="36" t="n"/>
      <c r="W62" s="36" t="n"/>
      <c r="X62" s="37" t="n"/>
      <c r="Y62" s="37" t="n"/>
      <c r="Z62" s="39" t="n"/>
      <c r="AA62" s="39" t="n"/>
      <c r="AB62" s="39" t="n"/>
      <c r="AC62" s="39" t="n"/>
      <c r="AD62" s="39" t="n"/>
      <c r="AE62" s="38" t="n"/>
      <c r="AF62" s="44" t="n"/>
      <c r="AG62" s="44" t="n"/>
      <c r="AH62" s="43">
        <f>IF(AND(Z62&lt;&gt;"",AA62&lt;&gt;"",AB62&lt;&gt;""),Z62+AA62+AB62,"")</f>
        <v/>
      </c>
      <c r="AI62" s="43">
        <f>IF(AND(AND(Z62&lt;&gt;"",AA62&lt;&gt;"",AB62&lt;&gt;""),AC62&lt;&gt;""),AC62-(Z62+AA62+AB62),"")</f>
        <v/>
      </c>
      <c r="AJ62" s="36" t="n"/>
      <c r="AK62" s="36" t="n"/>
      <c r="AL62" s="38" t="n"/>
      <c r="AM62" s="36" t="n"/>
      <c r="AN62" s="36" t="n"/>
      <c r="AO62" s="36" t="n"/>
      <c r="AP62" s="36" t="n"/>
      <c r="AQ62" s="36" t="n"/>
      <c r="AR62" s="36" t="n"/>
      <c r="AS62" s="36" t="n"/>
      <c r="AT62" s="35">
        <f>IF(NOT(COUNTA(A62:AS62)&gt;0),"",IF(TEXTJOIN(", ",TRUE,IF(B62="","Название",""),IF(C62="","Тип недвижимости",""),IF(D62="","Страна",""),IF(E62="","Город",""),IF(F62="","Улица",""),IF(I62="","Валюта",""),IF(OR(AL62="",AL62&lt;1),"Хотя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земли",""),IF(OR(AQ62="",AQ62="Нет"),"Право собственности",""),IF(OR(AR62="",AR62="Нет"),"Справка об отсутствии обременений",""),IF(OR(X62="",X62&lt;=0),"Площадь участка проекта",""),IF(OR(Y62="",Y62&lt;=0),"Площадь строительства",""),IF(OR(Z62="",Z62&lt;0),"Стоимость участка",""),IF(OR(AA62="",AA62&lt;0),"Строительство",""),IF(OR(AB62="",AB62&lt;0),"Налоги и резерв",""),IF(OR(AC62="",AC62&lt;0),"Ожидаемая продажа",""),IF(OR(AD62="",AD62&lt;=0),"Капитал инвестора",""),IF(OR(AE62="",AE62&lt;=0,AE62&gt;600),"Срок в месяцах",""),IF(OR(AF62="",AF62&lt;0,AF62&gt;100),"Приоритетная доходность",""),IF(OR(AG62="",AG62&lt;0,AG62&gt;100),"Доля платформы",""),IF(AND(Z62&lt;&gt;"",AA62&lt;&gt;"",AB62&lt;&gt;"",AD62&lt;&gt;"",OR((Z62+AA62+AB62)&lt;=0,AD62&gt;(Z62+AA62+AB62))),"Капитал инвестора больше бюджета",""))="","",TEXTJOIN(", ",TRUE,IF(B62="","Название",""),IF(C62="","Тип недвижимости",""),IF(D62="","Страна",""),IF(E62="","Город",""),IF(F62="","Улица",""),IF(I62="","Валюта",""),IF(OR(AL62="",AL62&lt;1),"Хотя бы 1 фото",""),IF(AND(OR(C62="Квартира",C62="Апартаменты",C62="Дом",C62="Вилла",C62="Коммерческая"),J62=""),"Площадь",""),IF(AND(OR(C62="Квартира",C62="Апартаменты"),K62=""),"Жилая площадь",""),IF(AND(OR(C62="Дом",C62="Вилла",C62="Земля"),L62=""),"Площадь участка",""),IF(AND(OR(C62="Квартира",C62="Апартаменты"),M62=""),"Комнаты",""),IF(AND(OR(C62="Дом",C62="Вилла"),N62=""),"Спальни",""),IF(AND(OR(C62="Квартира",C62="Апартаменты",C62="Дом",C62="Вилла"),O62=""),"Ванные",""),IF(AND(OR(C62="Квартира",C62="Апартаменты"),P62=""),"Этаж",""),IF(AND(OR(OR(C62="Квартира",C62="Апартаменты"),OR(C62="Дом",C62="Вилла")),Q62=""),"Этажей",""),IF(AND(OR(OR(C62="Квартира",C62="Апартаменты"),OR(C62="Дом",C62="Вилла")),OR(R62="",R62&gt;YEAR(TODAY()))),"Год постройки",""),IF(AND(P62&lt;&gt;"",Q62&lt;&gt;"",P62&gt;Q62),"Этаж больше этажности",""),IF(AND(OR(C62="Квартира",C62="Апартаменты",C62="Дом",C62="Вилла"),S62=""),"Материал",""),IF(AND(OR(C62="Коммерческая"),U62=""),"Тип коммерции",""),IF(AND(OR(C62="Земля"),V62=""),"Назначение земли",""),IF(OR(AQ62="",AQ62="Нет"),"Право собственности",""),IF(OR(AR62="",AR62="Нет"),"Справка об отсутствии обременений",""),IF(OR(X62="",X62&lt;=0),"Площадь участка проекта",""),IF(OR(Y62="",Y62&lt;=0),"Площадь строительства",""),IF(OR(Z62="",Z62&lt;0),"Стоимость участка",""),IF(OR(AA62="",AA62&lt;0),"Строительство",""),IF(OR(AB62="",AB62&lt;0),"Налоги и резерв",""),IF(OR(AC62="",AC62&lt;0),"Ожидаемая продажа",""),IF(OR(AD62="",AD62&lt;=0),"Капитал инвестора",""),IF(OR(AE62="",AE62&lt;=0,AE62&gt;600),"Срок в месяцах",""),IF(OR(AF62="",AF62&lt;0,AF62&gt;100),"Приоритетная доходность",""),IF(OR(AG62="",AG62&lt;0,AG62&gt;100),"Доля платформы",""),IF(AND(Z62&lt;&gt;"",AA62&lt;&gt;"",AB62&lt;&gt;"",AD62&lt;&gt;"",OR((Z62+AA62+AB62)&lt;=0,AD62&gt;(Z62+AA62+AB62))),"Капитал инвестора больше бюджета",""))))</f>
        <v/>
      </c>
      <c r="AU62" s="35">
        <f>IF(NOT(COUNTA(A62:AS62)&gt;0),"",IF(TEXTJOIN(", ",TRUE,IF(AO62="","Описание",""),IF(AND(AL62&lt;&gt;"",AL62&gt;=1,AL62&lt;5),"Фото меньше 5",""),IF(AN62="","Видео",""),IF(H62="","Кадастровый номер",""),IF(AM62="","Ссылка на фото",""),IF(W62="","Цель продавца",""),IF(AJ62="","Лицензия",""),IF(AK62="","Допущения и источники",""))="","",TEXTJOIN(", ",TRUE,IF(AO62="","Описание",""),IF(AND(AL62&lt;&gt;"",AL62&gt;=1,AL62&lt;5),"Фото меньше 5",""),IF(AN62="","Видео",""),IF(H62="","Кадастровый номер",""),IF(AM62="","Ссылка на фото",""),IF(W62="","Цель продавца",""),IF(AJ62="","Лицензия",""),IF(AK62="","Допущения и источники",""))))</f>
        <v/>
      </c>
      <c r="AV62" s="35">
        <f>IF(NOT(COUNTA(A62:AS62)&gt;0),"",IF(AT62="","Можно публиковать","Не хватает"))</f>
        <v/>
      </c>
    </row>
    <row r="63" ht="22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  <c r="K63" s="31" t="n"/>
      <c r="L63" s="31" t="n"/>
      <c r="M63" s="32" t="n"/>
      <c r="N63" s="32" t="n"/>
      <c r="O63" s="32" t="n"/>
      <c r="P63" s="32" t="n"/>
      <c r="Q63" s="32" t="n"/>
      <c r="R63" s="32" t="n"/>
      <c r="S63" s="30" t="n"/>
      <c r="T63" s="30" t="n"/>
      <c r="U63" s="30" t="n"/>
      <c r="V63" s="30" t="n"/>
      <c r="W63" s="30" t="n"/>
      <c r="X63" s="31" t="n"/>
      <c r="Y63" s="31" t="n"/>
      <c r="Z63" s="33" t="n"/>
      <c r="AA63" s="33" t="n"/>
      <c r="AB63" s="33" t="n"/>
      <c r="AC63" s="33" t="n"/>
      <c r="AD63" s="33" t="n"/>
      <c r="AE63" s="32" t="n"/>
      <c r="AF63" s="42" t="n"/>
      <c r="AG63" s="42" t="n"/>
      <c r="AH63" s="43">
        <f>IF(AND(Z63&lt;&gt;"",AA63&lt;&gt;"",AB63&lt;&gt;""),Z63+AA63+AB63,"")</f>
        <v/>
      </c>
      <c r="AI63" s="43">
        <f>IF(AND(AND(Z63&lt;&gt;"",AA63&lt;&gt;"",AB63&lt;&gt;""),AC63&lt;&gt;""),AC63-(Z63+AA63+AB63),"")</f>
        <v/>
      </c>
      <c r="AJ63" s="30" t="n"/>
      <c r="AK63" s="30" t="n"/>
      <c r="AL63" s="32" t="n"/>
      <c r="AM63" s="30" t="n"/>
      <c r="AN63" s="30" t="n"/>
      <c r="AO63" s="30" t="n"/>
      <c r="AP63" s="30" t="n"/>
      <c r="AQ63" s="30" t="n"/>
      <c r="AR63" s="30" t="n"/>
      <c r="AS63" s="30" t="n"/>
      <c r="AT63" s="35">
        <f>IF(NOT(COUNTA(A63:AS63)&gt;0),"",IF(TEXTJOIN(", ",TRUE,IF(B63="","Название",""),IF(C63="","Тип недвижимости",""),IF(D63="","Страна",""),IF(E63="","Город",""),IF(F63="","Улица",""),IF(I63="","Валюта",""),IF(OR(AL63="",AL63&lt;1),"Хотя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земли",""),IF(OR(AQ63="",AQ63="Нет"),"Право собственности",""),IF(OR(AR63="",AR63="Нет"),"Справка об отсутствии обременений",""),IF(OR(X63="",X63&lt;=0),"Площадь участка проекта",""),IF(OR(Y63="",Y63&lt;=0),"Площадь строительства",""),IF(OR(Z63="",Z63&lt;0),"Стоимость участка",""),IF(OR(AA63="",AA63&lt;0),"Строительство",""),IF(OR(AB63="",AB63&lt;0),"Налоги и резерв",""),IF(OR(AC63="",AC63&lt;0),"Ожидаемая продажа",""),IF(OR(AD63="",AD63&lt;=0),"Капитал инвестора",""),IF(OR(AE63="",AE63&lt;=0,AE63&gt;600),"Срок в месяцах",""),IF(OR(AF63="",AF63&lt;0,AF63&gt;100),"Приоритетная доходность",""),IF(OR(AG63="",AG63&lt;0,AG63&gt;100),"Доля платформы",""),IF(AND(Z63&lt;&gt;"",AA63&lt;&gt;"",AB63&lt;&gt;"",AD63&lt;&gt;"",OR((Z63+AA63+AB63)&lt;=0,AD63&gt;(Z63+AA63+AB63))),"Капитал инвестора больше бюджета",""))="","",TEXTJOIN(", ",TRUE,IF(B63="","Название",""),IF(C63="","Тип недвижимости",""),IF(D63="","Страна",""),IF(E63="","Город",""),IF(F63="","Улица",""),IF(I63="","Валюта",""),IF(OR(AL63="",AL63&lt;1),"Хотя бы 1 фото",""),IF(AND(OR(C63="Квартира",C63="Апартаменты",C63="Дом",C63="Вилла",C63="Коммерческая"),J63=""),"Площадь",""),IF(AND(OR(C63="Квартира",C63="Апартаменты"),K63=""),"Жилая площадь",""),IF(AND(OR(C63="Дом",C63="Вилла",C63="Земля"),L63=""),"Площадь участка",""),IF(AND(OR(C63="Квартира",C63="Апартаменты"),M63=""),"Комнаты",""),IF(AND(OR(C63="Дом",C63="Вилла"),N63=""),"Спальни",""),IF(AND(OR(C63="Квартира",C63="Апартаменты",C63="Дом",C63="Вилла"),O63=""),"Ванные",""),IF(AND(OR(C63="Квартира",C63="Апартаменты"),P63=""),"Этаж",""),IF(AND(OR(OR(C63="Квартира",C63="Апартаменты"),OR(C63="Дом",C63="Вилла")),Q63=""),"Этажей",""),IF(AND(OR(OR(C63="Квартира",C63="Апартаменты"),OR(C63="Дом",C63="Вилла")),OR(R63="",R63&gt;YEAR(TODAY()))),"Год постройки",""),IF(AND(P63&lt;&gt;"",Q63&lt;&gt;"",P63&gt;Q63),"Этаж больше этажности",""),IF(AND(OR(C63="Квартира",C63="Апартаменты",C63="Дом",C63="Вилла"),S63=""),"Материал",""),IF(AND(OR(C63="Коммерческая"),U63=""),"Тип коммерции",""),IF(AND(OR(C63="Земля"),V63=""),"Назначение земли",""),IF(OR(AQ63="",AQ63="Нет"),"Право собственности",""),IF(OR(AR63="",AR63="Нет"),"Справка об отсутствии обременений",""),IF(OR(X63="",X63&lt;=0),"Площадь участка проекта",""),IF(OR(Y63="",Y63&lt;=0),"Площадь строительства",""),IF(OR(Z63="",Z63&lt;0),"Стоимость участка",""),IF(OR(AA63="",AA63&lt;0),"Строительство",""),IF(OR(AB63="",AB63&lt;0),"Налоги и резерв",""),IF(OR(AC63="",AC63&lt;0),"Ожидаемая продажа",""),IF(OR(AD63="",AD63&lt;=0),"Капитал инвестора",""),IF(OR(AE63="",AE63&lt;=0,AE63&gt;600),"Срок в месяцах",""),IF(OR(AF63="",AF63&lt;0,AF63&gt;100),"Приоритетная доходность",""),IF(OR(AG63="",AG63&lt;0,AG63&gt;100),"Доля платформы",""),IF(AND(Z63&lt;&gt;"",AA63&lt;&gt;"",AB63&lt;&gt;"",AD63&lt;&gt;"",OR((Z63+AA63+AB63)&lt;=0,AD63&gt;(Z63+AA63+AB63))),"Капитал инвестора больше бюджета",""))))</f>
        <v/>
      </c>
      <c r="AU63" s="35">
        <f>IF(NOT(COUNTA(A63:AS63)&gt;0),"",IF(TEXTJOIN(", ",TRUE,IF(AO63="","Описание",""),IF(AND(AL63&lt;&gt;"",AL63&gt;=1,AL63&lt;5),"Фото меньше 5",""),IF(AN63="","Видео",""),IF(H63="","Кадастровый номер",""),IF(AM63="","Ссылка на фото",""),IF(W63="","Цель продавца",""),IF(AJ63="","Лицензия",""),IF(AK63="","Допущения и источники",""))="","",TEXTJOIN(", ",TRUE,IF(AO63="","Описание",""),IF(AND(AL63&lt;&gt;"",AL63&gt;=1,AL63&lt;5),"Фото меньше 5",""),IF(AN63="","Видео",""),IF(H63="","Кадастровый номер",""),IF(AM63="","Ссылка на фото",""),IF(W63="","Цель продавца",""),IF(AJ63="","Лицензия",""),IF(AK63="","Допущения и источники",""))))</f>
        <v/>
      </c>
      <c r="AV63" s="35">
        <f>IF(NOT(COUNTA(A63:AS63)&gt;0),"",IF(AT63="","Можно публиковать","Не хватает"))</f>
        <v/>
      </c>
    </row>
    <row r="64" ht="22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7" t="n"/>
      <c r="K64" s="37" t="n"/>
      <c r="L64" s="37" t="n"/>
      <c r="M64" s="38" t="n"/>
      <c r="N64" s="38" t="n"/>
      <c r="O64" s="38" t="n"/>
      <c r="P64" s="38" t="n"/>
      <c r="Q64" s="38" t="n"/>
      <c r="R64" s="38" t="n"/>
      <c r="S64" s="36" t="n"/>
      <c r="T64" s="36" t="n"/>
      <c r="U64" s="36" t="n"/>
      <c r="V64" s="36" t="n"/>
      <c r="W64" s="36" t="n"/>
      <c r="X64" s="37" t="n"/>
      <c r="Y64" s="37" t="n"/>
      <c r="Z64" s="39" t="n"/>
      <c r="AA64" s="39" t="n"/>
      <c r="AB64" s="39" t="n"/>
      <c r="AC64" s="39" t="n"/>
      <c r="AD64" s="39" t="n"/>
      <c r="AE64" s="38" t="n"/>
      <c r="AF64" s="44" t="n"/>
      <c r="AG64" s="44" t="n"/>
      <c r="AH64" s="43">
        <f>IF(AND(Z64&lt;&gt;"",AA64&lt;&gt;"",AB64&lt;&gt;""),Z64+AA64+AB64,"")</f>
        <v/>
      </c>
      <c r="AI64" s="43">
        <f>IF(AND(AND(Z64&lt;&gt;"",AA64&lt;&gt;"",AB64&lt;&gt;""),AC64&lt;&gt;""),AC64-(Z64+AA64+AB64),"")</f>
        <v/>
      </c>
      <c r="AJ64" s="36" t="n"/>
      <c r="AK64" s="36" t="n"/>
      <c r="AL64" s="38" t="n"/>
      <c r="AM64" s="36" t="n"/>
      <c r="AN64" s="36" t="n"/>
      <c r="AO64" s="36" t="n"/>
      <c r="AP64" s="36" t="n"/>
      <c r="AQ64" s="36" t="n"/>
      <c r="AR64" s="36" t="n"/>
      <c r="AS64" s="36" t="n"/>
      <c r="AT64" s="35">
        <f>IF(NOT(COUNTA(A64:AS64)&gt;0),"",IF(TEXTJOIN(", ",TRUE,IF(B64="","Название",""),IF(C64="","Тип недвижимости",""),IF(D64="","Страна",""),IF(E64="","Город",""),IF(F64="","Улица",""),IF(I64="","Валюта",""),IF(OR(AL64="",AL64&lt;1),"Хотя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земли",""),IF(OR(AQ64="",AQ64="Нет"),"Право собственности",""),IF(OR(AR64="",AR64="Нет"),"Справка об отсутствии обременений",""),IF(OR(X64="",X64&lt;=0),"Площадь участка проекта",""),IF(OR(Y64="",Y64&lt;=0),"Площадь строительства",""),IF(OR(Z64="",Z64&lt;0),"Стоимость участка",""),IF(OR(AA64="",AA64&lt;0),"Строительство",""),IF(OR(AB64="",AB64&lt;0),"Налоги и резерв",""),IF(OR(AC64="",AC64&lt;0),"Ожидаемая продажа",""),IF(OR(AD64="",AD64&lt;=0),"Капитал инвестора",""),IF(OR(AE64="",AE64&lt;=0,AE64&gt;600),"Срок в месяцах",""),IF(OR(AF64="",AF64&lt;0,AF64&gt;100),"Приоритетная доходность",""),IF(OR(AG64="",AG64&lt;0,AG64&gt;100),"Доля платформы",""),IF(AND(Z64&lt;&gt;"",AA64&lt;&gt;"",AB64&lt;&gt;"",AD64&lt;&gt;"",OR((Z64+AA64+AB64)&lt;=0,AD64&gt;(Z64+AA64+AB64))),"Капитал инвестора больше бюджета",""))="","",TEXTJOIN(", ",TRUE,IF(B64="","Название",""),IF(C64="","Тип недвижимости",""),IF(D64="","Страна",""),IF(E64="","Город",""),IF(F64="","Улица",""),IF(I64="","Валюта",""),IF(OR(AL64="",AL64&lt;1),"Хотя бы 1 фото",""),IF(AND(OR(C64="Квартира",C64="Апартаменты",C64="Дом",C64="Вилла",C64="Коммерческая"),J64=""),"Площадь",""),IF(AND(OR(C64="Квартира",C64="Апартаменты"),K64=""),"Жилая площадь",""),IF(AND(OR(C64="Дом",C64="Вилла",C64="Земля"),L64=""),"Площадь участка",""),IF(AND(OR(C64="Квартира",C64="Апартаменты"),M64=""),"Комнаты",""),IF(AND(OR(C64="Дом",C64="Вилла"),N64=""),"Спальни",""),IF(AND(OR(C64="Квартира",C64="Апартаменты",C64="Дом",C64="Вилла"),O64=""),"Ванные",""),IF(AND(OR(C64="Квартира",C64="Апартаменты"),P64=""),"Этаж",""),IF(AND(OR(OR(C64="Квартира",C64="Апартаменты"),OR(C64="Дом",C64="Вилла")),Q64=""),"Этажей",""),IF(AND(OR(OR(C64="Квартира",C64="Апартаменты"),OR(C64="Дом",C64="Вилла")),OR(R64="",R64&gt;YEAR(TODAY()))),"Год постройки",""),IF(AND(P64&lt;&gt;"",Q64&lt;&gt;"",P64&gt;Q64),"Этаж больше этажности",""),IF(AND(OR(C64="Квартира",C64="Апартаменты",C64="Дом",C64="Вилла"),S64=""),"Материал",""),IF(AND(OR(C64="Коммерческая"),U64=""),"Тип коммерции",""),IF(AND(OR(C64="Земля"),V64=""),"Назначение земли",""),IF(OR(AQ64="",AQ64="Нет"),"Право собственности",""),IF(OR(AR64="",AR64="Нет"),"Справка об отсутствии обременений",""),IF(OR(X64="",X64&lt;=0),"Площадь участка проекта",""),IF(OR(Y64="",Y64&lt;=0),"Площадь строительства",""),IF(OR(Z64="",Z64&lt;0),"Стоимость участка",""),IF(OR(AA64="",AA64&lt;0),"Строительство",""),IF(OR(AB64="",AB64&lt;0),"Налоги и резерв",""),IF(OR(AC64="",AC64&lt;0),"Ожидаемая продажа",""),IF(OR(AD64="",AD64&lt;=0),"Капитал инвестора",""),IF(OR(AE64="",AE64&lt;=0,AE64&gt;600),"Срок в месяцах",""),IF(OR(AF64="",AF64&lt;0,AF64&gt;100),"Приоритетная доходность",""),IF(OR(AG64="",AG64&lt;0,AG64&gt;100),"Доля платформы",""),IF(AND(Z64&lt;&gt;"",AA64&lt;&gt;"",AB64&lt;&gt;"",AD64&lt;&gt;"",OR((Z64+AA64+AB64)&lt;=0,AD64&gt;(Z64+AA64+AB64))),"Капитал инвестора больше бюджета",""))))</f>
        <v/>
      </c>
      <c r="AU64" s="35">
        <f>IF(NOT(COUNTA(A64:AS64)&gt;0),"",IF(TEXTJOIN(", ",TRUE,IF(AO64="","Описание",""),IF(AND(AL64&lt;&gt;"",AL64&gt;=1,AL64&lt;5),"Фото меньше 5",""),IF(AN64="","Видео",""),IF(H64="","Кадастровый номер",""),IF(AM64="","Ссылка на фото",""),IF(W64="","Цель продавца",""),IF(AJ64="","Лицензия",""),IF(AK64="","Допущения и источники",""))="","",TEXTJOIN(", ",TRUE,IF(AO64="","Описание",""),IF(AND(AL64&lt;&gt;"",AL64&gt;=1,AL64&lt;5),"Фото меньше 5",""),IF(AN64="","Видео",""),IF(H64="","Кадастровый номер",""),IF(AM64="","Ссылка на фото",""),IF(W64="","Цель продавца",""),IF(AJ64="","Лицензия",""),IF(AK64="","Допущения и источники",""))))</f>
        <v/>
      </c>
      <c r="AV64" s="35">
        <f>IF(NOT(COUNTA(A64:AS64)&gt;0),"",IF(AT64="","Можно публиковать","Не хватает"))</f>
        <v/>
      </c>
    </row>
    <row r="65" ht="22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 t="n"/>
      <c r="K65" s="31" t="n"/>
      <c r="L65" s="31" t="n"/>
      <c r="M65" s="32" t="n"/>
      <c r="N65" s="32" t="n"/>
      <c r="O65" s="32" t="n"/>
      <c r="P65" s="32" t="n"/>
      <c r="Q65" s="32" t="n"/>
      <c r="R65" s="32" t="n"/>
      <c r="S65" s="30" t="n"/>
      <c r="T65" s="30" t="n"/>
      <c r="U65" s="30" t="n"/>
      <c r="V65" s="30" t="n"/>
      <c r="W65" s="30" t="n"/>
      <c r="X65" s="31" t="n"/>
      <c r="Y65" s="31" t="n"/>
      <c r="Z65" s="33" t="n"/>
      <c r="AA65" s="33" t="n"/>
      <c r="AB65" s="33" t="n"/>
      <c r="AC65" s="33" t="n"/>
      <c r="AD65" s="33" t="n"/>
      <c r="AE65" s="32" t="n"/>
      <c r="AF65" s="42" t="n"/>
      <c r="AG65" s="42" t="n"/>
      <c r="AH65" s="43">
        <f>IF(AND(Z65&lt;&gt;"",AA65&lt;&gt;"",AB65&lt;&gt;""),Z65+AA65+AB65,"")</f>
        <v/>
      </c>
      <c r="AI65" s="43">
        <f>IF(AND(AND(Z65&lt;&gt;"",AA65&lt;&gt;"",AB65&lt;&gt;""),AC65&lt;&gt;""),AC65-(Z65+AA65+AB65),"")</f>
        <v/>
      </c>
      <c r="AJ65" s="30" t="n"/>
      <c r="AK65" s="30" t="n"/>
      <c r="AL65" s="32" t="n"/>
      <c r="AM65" s="30" t="n"/>
      <c r="AN65" s="30" t="n"/>
      <c r="AO65" s="30" t="n"/>
      <c r="AP65" s="30" t="n"/>
      <c r="AQ65" s="30" t="n"/>
      <c r="AR65" s="30" t="n"/>
      <c r="AS65" s="30" t="n"/>
      <c r="AT65" s="35">
        <f>IF(NOT(COUNTA(A65:AS65)&gt;0),"",IF(TEXTJOIN(", ",TRUE,IF(B65="","Название",""),IF(C65="","Тип недвижимости",""),IF(D65="","Страна",""),IF(E65="","Город",""),IF(F65="","Улица",""),IF(I65="","Валюта",""),IF(OR(AL65="",AL65&lt;1),"Хотя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земли",""),IF(OR(AQ65="",AQ65="Нет"),"Право собственности",""),IF(OR(AR65="",AR65="Нет"),"Справка об отсутствии обременений",""),IF(OR(X65="",X65&lt;=0),"Площадь участка проекта",""),IF(OR(Y65="",Y65&lt;=0),"Площадь строительства",""),IF(OR(Z65="",Z65&lt;0),"Стоимость участка",""),IF(OR(AA65="",AA65&lt;0),"Строительство",""),IF(OR(AB65="",AB65&lt;0),"Налоги и резерв",""),IF(OR(AC65="",AC65&lt;0),"Ожидаемая продажа",""),IF(OR(AD65="",AD65&lt;=0),"Капитал инвестора",""),IF(OR(AE65="",AE65&lt;=0,AE65&gt;600),"Срок в месяцах",""),IF(OR(AF65="",AF65&lt;0,AF65&gt;100),"Приоритетная доходность",""),IF(OR(AG65="",AG65&lt;0,AG65&gt;100),"Доля платформы",""),IF(AND(Z65&lt;&gt;"",AA65&lt;&gt;"",AB65&lt;&gt;"",AD65&lt;&gt;"",OR((Z65+AA65+AB65)&lt;=0,AD65&gt;(Z65+AA65+AB65))),"Капитал инвестора больше бюджета",""))="","",TEXTJOIN(", ",TRUE,IF(B65="","Название",""),IF(C65="","Тип недвижимости",""),IF(D65="","Страна",""),IF(E65="","Город",""),IF(F65="","Улица",""),IF(I65="","Валюта",""),IF(OR(AL65="",AL65&lt;1),"Хотя бы 1 фото",""),IF(AND(OR(C65="Квартира",C65="Апартаменты",C65="Дом",C65="Вилла",C65="Коммерческая"),J65=""),"Площадь",""),IF(AND(OR(C65="Квартира",C65="Апартаменты"),K65=""),"Жилая площадь",""),IF(AND(OR(C65="Дом",C65="Вилла",C65="Земля"),L65=""),"Площадь участка",""),IF(AND(OR(C65="Квартира",C65="Апартаменты"),M65=""),"Комнаты",""),IF(AND(OR(C65="Дом",C65="Вилла"),N65=""),"Спальни",""),IF(AND(OR(C65="Квартира",C65="Апартаменты",C65="Дом",C65="Вилла"),O65=""),"Ванные",""),IF(AND(OR(C65="Квартира",C65="Апартаменты"),P65=""),"Этаж",""),IF(AND(OR(OR(C65="Квартира",C65="Апартаменты"),OR(C65="Дом",C65="Вилла")),Q65=""),"Этажей",""),IF(AND(OR(OR(C65="Квартира",C65="Апартаменты"),OR(C65="Дом",C65="Вилла")),OR(R65="",R65&gt;YEAR(TODAY()))),"Год постройки",""),IF(AND(P65&lt;&gt;"",Q65&lt;&gt;"",P65&gt;Q65),"Этаж больше этажности",""),IF(AND(OR(C65="Квартира",C65="Апартаменты",C65="Дом",C65="Вилла"),S65=""),"Материал",""),IF(AND(OR(C65="Коммерческая"),U65=""),"Тип коммерции",""),IF(AND(OR(C65="Земля"),V65=""),"Назначение земли",""),IF(OR(AQ65="",AQ65="Нет"),"Право собственности",""),IF(OR(AR65="",AR65="Нет"),"Справка об отсутствии обременений",""),IF(OR(X65="",X65&lt;=0),"Площадь участка проекта",""),IF(OR(Y65="",Y65&lt;=0),"Площадь строительства",""),IF(OR(Z65="",Z65&lt;0),"Стоимость участка",""),IF(OR(AA65="",AA65&lt;0),"Строительство",""),IF(OR(AB65="",AB65&lt;0),"Налоги и резерв",""),IF(OR(AC65="",AC65&lt;0),"Ожидаемая продажа",""),IF(OR(AD65="",AD65&lt;=0),"Капитал инвестора",""),IF(OR(AE65="",AE65&lt;=0,AE65&gt;600),"Срок в месяцах",""),IF(OR(AF65="",AF65&lt;0,AF65&gt;100),"Приоритетная доходность",""),IF(OR(AG65="",AG65&lt;0,AG65&gt;100),"Доля платформы",""),IF(AND(Z65&lt;&gt;"",AA65&lt;&gt;"",AB65&lt;&gt;"",AD65&lt;&gt;"",OR((Z65+AA65+AB65)&lt;=0,AD65&gt;(Z65+AA65+AB65))),"Капитал инвестора больше бюджета",""))))</f>
        <v/>
      </c>
      <c r="AU65" s="35">
        <f>IF(NOT(COUNTA(A65:AS65)&gt;0),"",IF(TEXTJOIN(", ",TRUE,IF(AO65="","Описание",""),IF(AND(AL65&lt;&gt;"",AL65&gt;=1,AL65&lt;5),"Фото меньше 5",""),IF(AN65="","Видео",""),IF(H65="","Кадастровый номер",""),IF(AM65="","Ссылка на фото",""),IF(W65="","Цель продавца",""),IF(AJ65="","Лицензия",""),IF(AK65="","Допущения и источники",""))="","",TEXTJOIN(", ",TRUE,IF(AO65="","Описание",""),IF(AND(AL65&lt;&gt;"",AL65&gt;=1,AL65&lt;5),"Фото меньше 5",""),IF(AN65="","Видео",""),IF(H65="","Кадастровый номер",""),IF(AM65="","Ссылка на фото",""),IF(W65="","Цель продавца",""),IF(AJ65="","Лицензия",""),IF(AK65="","Допущения и источники",""))))</f>
        <v/>
      </c>
      <c r="AV65" s="35">
        <f>IF(NOT(COUNTA(A65:AS65)&gt;0),"",IF(AT65="","Можно публиковать","Не хватает"))</f>
        <v/>
      </c>
    </row>
    <row r="66" ht="22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7" t="n"/>
      <c r="K66" s="37" t="n"/>
      <c r="L66" s="37" t="n"/>
      <c r="M66" s="38" t="n"/>
      <c r="N66" s="38" t="n"/>
      <c r="O66" s="38" t="n"/>
      <c r="P66" s="38" t="n"/>
      <c r="Q66" s="38" t="n"/>
      <c r="R66" s="38" t="n"/>
      <c r="S66" s="36" t="n"/>
      <c r="T66" s="36" t="n"/>
      <c r="U66" s="36" t="n"/>
      <c r="V66" s="36" t="n"/>
      <c r="W66" s="36" t="n"/>
      <c r="X66" s="37" t="n"/>
      <c r="Y66" s="37" t="n"/>
      <c r="Z66" s="39" t="n"/>
      <c r="AA66" s="39" t="n"/>
      <c r="AB66" s="39" t="n"/>
      <c r="AC66" s="39" t="n"/>
      <c r="AD66" s="39" t="n"/>
      <c r="AE66" s="38" t="n"/>
      <c r="AF66" s="44" t="n"/>
      <c r="AG66" s="44" t="n"/>
      <c r="AH66" s="43">
        <f>IF(AND(Z66&lt;&gt;"",AA66&lt;&gt;"",AB66&lt;&gt;""),Z66+AA66+AB66,"")</f>
        <v/>
      </c>
      <c r="AI66" s="43">
        <f>IF(AND(AND(Z66&lt;&gt;"",AA66&lt;&gt;"",AB66&lt;&gt;""),AC66&lt;&gt;""),AC66-(Z66+AA66+AB66),"")</f>
        <v/>
      </c>
      <c r="AJ66" s="36" t="n"/>
      <c r="AK66" s="36" t="n"/>
      <c r="AL66" s="38" t="n"/>
      <c r="AM66" s="36" t="n"/>
      <c r="AN66" s="36" t="n"/>
      <c r="AO66" s="36" t="n"/>
      <c r="AP66" s="36" t="n"/>
      <c r="AQ66" s="36" t="n"/>
      <c r="AR66" s="36" t="n"/>
      <c r="AS66" s="36" t="n"/>
      <c r="AT66" s="35">
        <f>IF(NOT(COUNTA(A66:AS66)&gt;0),"",IF(TEXTJOIN(", ",TRUE,IF(B66="","Название",""),IF(C66="","Тип недвижимости",""),IF(D66="","Страна",""),IF(E66="","Город",""),IF(F66="","Улица",""),IF(I66="","Валюта",""),IF(OR(AL66="",AL66&lt;1),"Хотя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земли",""),IF(OR(AQ66="",AQ66="Нет"),"Право собственности",""),IF(OR(AR66="",AR66="Нет"),"Справка об отсутствии обременений",""),IF(OR(X66="",X66&lt;=0),"Площадь участка проекта",""),IF(OR(Y66="",Y66&lt;=0),"Площадь строительства",""),IF(OR(Z66="",Z66&lt;0),"Стоимость участка",""),IF(OR(AA66="",AA66&lt;0),"Строительство",""),IF(OR(AB66="",AB66&lt;0),"Налоги и резерв",""),IF(OR(AC66="",AC66&lt;0),"Ожидаемая продажа",""),IF(OR(AD66="",AD66&lt;=0),"Капитал инвестора",""),IF(OR(AE66="",AE66&lt;=0,AE66&gt;600),"Срок в месяцах",""),IF(OR(AF66="",AF66&lt;0,AF66&gt;100),"Приоритетная доходность",""),IF(OR(AG66="",AG66&lt;0,AG66&gt;100),"Доля платформы",""),IF(AND(Z66&lt;&gt;"",AA66&lt;&gt;"",AB66&lt;&gt;"",AD66&lt;&gt;"",OR((Z66+AA66+AB66)&lt;=0,AD66&gt;(Z66+AA66+AB66))),"Капитал инвестора больше бюджета",""))="","",TEXTJOIN(", ",TRUE,IF(B66="","Название",""),IF(C66="","Тип недвижимости",""),IF(D66="","Страна",""),IF(E66="","Город",""),IF(F66="","Улица",""),IF(I66="","Валюта",""),IF(OR(AL66="",AL66&lt;1),"Хотя бы 1 фото",""),IF(AND(OR(C66="Квартира",C66="Апартаменты",C66="Дом",C66="Вилла",C66="Коммерческая"),J66=""),"Площадь",""),IF(AND(OR(C66="Квартира",C66="Апартаменты"),K66=""),"Жилая площадь",""),IF(AND(OR(C66="Дом",C66="Вилла",C66="Земля"),L66=""),"Площадь участка",""),IF(AND(OR(C66="Квартира",C66="Апартаменты"),M66=""),"Комнаты",""),IF(AND(OR(C66="Дом",C66="Вилла"),N66=""),"Спальни",""),IF(AND(OR(C66="Квартира",C66="Апартаменты",C66="Дом",C66="Вилла"),O66=""),"Ванные",""),IF(AND(OR(C66="Квартира",C66="Апартаменты"),P66=""),"Этаж",""),IF(AND(OR(OR(C66="Квартира",C66="Апартаменты"),OR(C66="Дом",C66="Вилла")),Q66=""),"Этажей",""),IF(AND(OR(OR(C66="Квартира",C66="Апартаменты"),OR(C66="Дом",C66="Вилла")),OR(R66="",R66&gt;YEAR(TODAY()))),"Год постройки",""),IF(AND(P66&lt;&gt;"",Q66&lt;&gt;"",P66&gt;Q66),"Этаж больше этажности",""),IF(AND(OR(C66="Квартира",C66="Апартаменты",C66="Дом",C66="Вилла"),S66=""),"Материал",""),IF(AND(OR(C66="Коммерческая"),U66=""),"Тип коммерции",""),IF(AND(OR(C66="Земля"),V66=""),"Назначение земли",""),IF(OR(AQ66="",AQ66="Нет"),"Право собственности",""),IF(OR(AR66="",AR66="Нет"),"Справка об отсутствии обременений",""),IF(OR(X66="",X66&lt;=0),"Площадь участка проекта",""),IF(OR(Y66="",Y66&lt;=0),"Площадь строительства",""),IF(OR(Z66="",Z66&lt;0),"Стоимость участка",""),IF(OR(AA66="",AA66&lt;0),"Строительство",""),IF(OR(AB66="",AB66&lt;0),"Налоги и резерв",""),IF(OR(AC66="",AC66&lt;0),"Ожидаемая продажа",""),IF(OR(AD66="",AD66&lt;=0),"Капитал инвестора",""),IF(OR(AE66="",AE66&lt;=0,AE66&gt;600),"Срок в месяцах",""),IF(OR(AF66="",AF66&lt;0,AF66&gt;100),"Приоритетная доходность",""),IF(OR(AG66="",AG66&lt;0,AG66&gt;100),"Доля платформы",""),IF(AND(Z66&lt;&gt;"",AA66&lt;&gt;"",AB66&lt;&gt;"",AD66&lt;&gt;"",OR((Z66+AA66+AB66)&lt;=0,AD66&gt;(Z66+AA66+AB66))),"Капитал инвестора больше бюджета",""))))</f>
        <v/>
      </c>
      <c r="AU66" s="35">
        <f>IF(NOT(COUNTA(A66:AS66)&gt;0),"",IF(TEXTJOIN(", ",TRUE,IF(AO66="","Описание",""),IF(AND(AL66&lt;&gt;"",AL66&gt;=1,AL66&lt;5),"Фото меньше 5",""),IF(AN66="","Видео",""),IF(H66="","Кадастровый номер",""),IF(AM66="","Ссылка на фото",""),IF(W66="","Цель продавца",""),IF(AJ66="","Лицензия",""),IF(AK66="","Допущения и источники",""))="","",TEXTJOIN(", ",TRUE,IF(AO66="","Описание",""),IF(AND(AL66&lt;&gt;"",AL66&gt;=1,AL66&lt;5),"Фото меньше 5",""),IF(AN66="","Видео",""),IF(H66="","Кадастровый номер",""),IF(AM66="","Ссылка на фото",""),IF(W66="","Цель продавца",""),IF(AJ66="","Лицензия",""),IF(AK66="","Допущения и источники",""))))</f>
        <v/>
      </c>
      <c r="AV66" s="35">
        <f>IF(NOT(COUNTA(A66:AS66)&gt;0),"",IF(AT66="","Можно публиковать","Не хватает"))</f>
        <v/>
      </c>
    </row>
    <row r="67" ht="22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 t="n"/>
      <c r="K67" s="31" t="n"/>
      <c r="L67" s="31" t="n"/>
      <c r="M67" s="32" t="n"/>
      <c r="N67" s="32" t="n"/>
      <c r="O67" s="32" t="n"/>
      <c r="P67" s="32" t="n"/>
      <c r="Q67" s="32" t="n"/>
      <c r="R67" s="32" t="n"/>
      <c r="S67" s="30" t="n"/>
      <c r="T67" s="30" t="n"/>
      <c r="U67" s="30" t="n"/>
      <c r="V67" s="30" t="n"/>
      <c r="W67" s="30" t="n"/>
      <c r="X67" s="31" t="n"/>
      <c r="Y67" s="31" t="n"/>
      <c r="Z67" s="33" t="n"/>
      <c r="AA67" s="33" t="n"/>
      <c r="AB67" s="33" t="n"/>
      <c r="AC67" s="33" t="n"/>
      <c r="AD67" s="33" t="n"/>
      <c r="AE67" s="32" t="n"/>
      <c r="AF67" s="42" t="n"/>
      <c r="AG67" s="42" t="n"/>
      <c r="AH67" s="43">
        <f>IF(AND(Z67&lt;&gt;"",AA67&lt;&gt;"",AB67&lt;&gt;""),Z67+AA67+AB67,"")</f>
        <v/>
      </c>
      <c r="AI67" s="43">
        <f>IF(AND(AND(Z67&lt;&gt;"",AA67&lt;&gt;"",AB67&lt;&gt;""),AC67&lt;&gt;""),AC67-(Z67+AA67+AB67),"")</f>
        <v/>
      </c>
      <c r="AJ67" s="30" t="n"/>
      <c r="AK67" s="30" t="n"/>
      <c r="AL67" s="32" t="n"/>
      <c r="AM67" s="30" t="n"/>
      <c r="AN67" s="30" t="n"/>
      <c r="AO67" s="30" t="n"/>
      <c r="AP67" s="30" t="n"/>
      <c r="AQ67" s="30" t="n"/>
      <c r="AR67" s="30" t="n"/>
      <c r="AS67" s="30" t="n"/>
      <c r="AT67" s="35">
        <f>IF(NOT(COUNTA(A67:AS67)&gt;0),"",IF(TEXTJOIN(", ",TRUE,IF(B67="","Название",""),IF(C67="","Тип недвижимости",""),IF(D67="","Страна",""),IF(E67="","Город",""),IF(F67="","Улица",""),IF(I67="","Валюта",""),IF(OR(AL67="",AL67&lt;1),"Хотя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земли",""),IF(OR(AQ67="",AQ67="Нет"),"Право собственности",""),IF(OR(AR67="",AR67="Нет"),"Справка об отсутствии обременений",""),IF(OR(X67="",X67&lt;=0),"Площадь участка проекта",""),IF(OR(Y67="",Y67&lt;=0),"Площадь строительства",""),IF(OR(Z67="",Z67&lt;0),"Стоимость участка",""),IF(OR(AA67="",AA67&lt;0),"Строительство",""),IF(OR(AB67="",AB67&lt;0),"Налоги и резерв",""),IF(OR(AC67="",AC67&lt;0),"Ожидаемая продажа",""),IF(OR(AD67="",AD67&lt;=0),"Капитал инвестора",""),IF(OR(AE67="",AE67&lt;=0,AE67&gt;600),"Срок в месяцах",""),IF(OR(AF67="",AF67&lt;0,AF67&gt;100),"Приоритетная доходность",""),IF(OR(AG67="",AG67&lt;0,AG67&gt;100),"Доля платформы",""),IF(AND(Z67&lt;&gt;"",AA67&lt;&gt;"",AB67&lt;&gt;"",AD67&lt;&gt;"",OR((Z67+AA67+AB67)&lt;=0,AD67&gt;(Z67+AA67+AB67))),"Капитал инвестора больше бюджета",""))="","",TEXTJOIN(", ",TRUE,IF(B67="","Название",""),IF(C67="","Тип недвижимости",""),IF(D67="","Страна",""),IF(E67="","Город",""),IF(F67="","Улица",""),IF(I67="","Валюта",""),IF(OR(AL67="",AL67&lt;1),"Хотя бы 1 фото",""),IF(AND(OR(C67="Квартира",C67="Апартаменты",C67="Дом",C67="Вилла",C67="Коммерческая"),J67=""),"Площадь",""),IF(AND(OR(C67="Квартира",C67="Апартаменты"),K67=""),"Жилая площадь",""),IF(AND(OR(C67="Дом",C67="Вилла",C67="Земля"),L67=""),"Площадь участка",""),IF(AND(OR(C67="Квартира",C67="Апартаменты"),M67=""),"Комнаты",""),IF(AND(OR(C67="Дом",C67="Вилла"),N67=""),"Спальни",""),IF(AND(OR(C67="Квартира",C67="Апартаменты",C67="Дом",C67="Вилла"),O67=""),"Ванные",""),IF(AND(OR(C67="Квартира",C67="Апартаменты"),P67=""),"Этаж",""),IF(AND(OR(OR(C67="Квартира",C67="Апартаменты"),OR(C67="Дом",C67="Вилла")),Q67=""),"Этажей",""),IF(AND(OR(OR(C67="Квартира",C67="Апартаменты"),OR(C67="Дом",C67="Вилла")),OR(R67="",R67&gt;YEAR(TODAY()))),"Год постройки",""),IF(AND(P67&lt;&gt;"",Q67&lt;&gt;"",P67&gt;Q67),"Этаж больше этажности",""),IF(AND(OR(C67="Квартира",C67="Апартаменты",C67="Дом",C67="Вилла"),S67=""),"Материал",""),IF(AND(OR(C67="Коммерческая"),U67=""),"Тип коммерции",""),IF(AND(OR(C67="Земля"),V67=""),"Назначение земли",""),IF(OR(AQ67="",AQ67="Нет"),"Право собственности",""),IF(OR(AR67="",AR67="Нет"),"Справка об отсутствии обременений",""),IF(OR(X67="",X67&lt;=0),"Площадь участка проекта",""),IF(OR(Y67="",Y67&lt;=0),"Площадь строительства",""),IF(OR(Z67="",Z67&lt;0),"Стоимость участка",""),IF(OR(AA67="",AA67&lt;0),"Строительство",""),IF(OR(AB67="",AB67&lt;0),"Налоги и резерв",""),IF(OR(AC67="",AC67&lt;0),"Ожидаемая продажа",""),IF(OR(AD67="",AD67&lt;=0),"Капитал инвестора",""),IF(OR(AE67="",AE67&lt;=0,AE67&gt;600),"Срок в месяцах",""),IF(OR(AF67="",AF67&lt;0,AF67&gt;100),"Приоритетная доходность",""),IF(OR(AG67="",AG67&lt;0,AG67&gt;100),"Доля платформы",""),IF(AND(Z67&lt;&gt;"",AA67&lt;&gt;"",AB67&lt;&gt;"",AD67&lt;&gt;"",OR((Z67+AA67+AB67)&lt;=0,AD67&gt;(Z67+AA67+AB67))),"Капитал инвестора больше бюджета",""))))</f>
        <v/>
      </c>
      <c r="AU67" s="35">
        <f>IF(NOT(COUNTA(A67:AS67)&gt;0),"",IF(TEXTJOIN(", ",TRUE,IF(AO67="","Описание",""),IF(AND(AL67&lt;&gt;"",AL67&gt;=1,AL67&lt;5),"Фото меньше 5",""),IF(AN67="","Видео",""),IF(H67="","Кадастровый номер",""),IF(AM67="","Ссылка на фото",""),IF(W67="","Цель продавца",""),IF(AJ67="","Лицензия",""),IF(AK67="","Допущения и источники",""))="","",TEXTJOIN(", ",TRUE,IF(AO67="","Описание",""),IF(AND(AL67&lt;&gt;"",AL67&gt;=1,AL67&lt;5),"Фото меньше 5",""),IF(AN67="","Видео",""),IF(H67="","Кадастровый номер",""),IF(AM67="","Ссылка на фото",""),IF(W67="","Цель продавца",""),IF(AJ67="","Лицензия",""),IF(AK67="","Допущения и источники",""))))</f>
        <v/>
      </c>
      <c r="AV67" s="35">
        <f>IF(NOT(COUNTA(A67:AS67)&gt;0),"",IF(AT67="","Можно публиковать","Не хватает"))</f>
        <v/>
      </c>
    </row>
    <row r="68" ht="22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7" t="n"/>
      <c r="K68" s="37" t="n"/>
      <c r="L68" s="37" t="n"/>
      <c r="M68" s="38" t="n"/>
      <c r="N68" s="38" t="n"/>
      <c r="O68" s="38" t="n"/>
      <c r="P68" s="38" t="n"/>
      <c r="Q68" s="38" t="n"/>
      <c r="R68" s="38" t="n"/>
      <c r="S68" s="36" t="n"/>
      <c r="T68" s="36" t="n"/>
      <c r="U68" s="36" t="n"/>
      <c r="V68" s="36" t="n"/>
      <c r="W68" s="36" t="n"/>
      <c r="X68" s="37" t="n"/>
      <c r="Y68" s="37" t="n"/>
      <c r="Z68" s="39" t="n"/>
      <c r="AA68" s="39" t="n"/>
      <c r="AB68" s="39" t="n"/>
      <c r="AC68" s="39" t="n"/>
      <c r="AD68" s="39" t="n"/>
      <c r="AE68" s="38" t="n"/>
      <c r="AF68" s="44" t="n"/>
      <c r="AG68" s="44" t="n"/>
      <c r="AH68" s="43">
        <f>IF(AND(Z68&lt;&gt;"",AA68&lt;&gt;"",AB68&lt;&gt;""),Z68+AA68+AB68,"")</f>
        <v/>
      </c>
      <c r="AI68" s="43">
        <f>IF(AND(AND(Z68&lt;&gt;"",AA68&lt;&gt;"",AB68&lt;&gt;""),AC68&lt;&gt;""),AC68-(Z68+AA68+AB68),"")</f>
        <v/>
      </c>
      <c r="AJ68" s="36" t="n"/>
      <c r="AK68" s="36" t="n"/>
      <c r="AL68" s="38" t="n"/>
      <c r="AM68" s="36" t="n"/>
      <c r="AN68" s="36" t="n"/>
      <c r="AO68" s="36" t="n"/>
      <c r="AP68" s="36" t="n"/>
      <c r="AQ68" s="36" t="n"/>
      <c r="AR68" s="36" t="n"/>
      <c r="AS68" s="36" t="n"/>
      <c r="AT68" s="35">
        <f>IF(NOT(COUNTA(A68:AS68)&gt;0),"",IF(TEXTJOIN(", ",TRUE,IF(B68="","Название",""),IF(C68="","Тип недвижимости",""),IF(D68="","Страна",""),IF(E68="","Город",""),IF(F68="","Улица",""),IF(I68="","Валюта",""),IF(OR(AL68="",AL68&lt;1),"Хотя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земли",""),IF(OR(AQ68="",AQ68="Нет"),"Право собственности",""),IF(OR(AR68="",AR68="Нет"),"Справка об отсутствии обременений",""),IF(OR(X68="",X68&lt;=0),"Площадь участка проекта",""),IF(OR(Y68="",Y68&lt;=0),"Площадь строительства",""),IF(OR(Z68="",Z68&lt;0),"Стоимость участка",""),IF(OR(AA68="",AA68&lt;0),"Строительство",""),IF(OR(AB68="",AB68&lt;0),"Налоги и резерв",""),IF(OR(AC68="",AC68&lt;0),"Ожидаемая продажа",""),IF(OR(AD68="",AD68&lt;=0),"Капитал инвестора",""),IF(OR(AE68="",AE68&lt;=0,AE68&gt;600),"Срок в месяцах",""),IF(OR(AF68="",AF68&lt;0,AF68&gt;100),"Приоритетная доходность",""),IF(OR(AG68="",AG68&lt;0,AG68&gt;100),"Доля платформы",""),IF(AND(Z68&lt;&gt;"",AA68&lt;&gt;"",AB68&lt;&gt;"",AD68&lt;&gt;"",OR((Z68+AA68+AB68)&lt;=0,AD68&gt;(Z68+AA68+AB68))),"Капитал инвестора больше бюджета",""))="","",TEXTJOIN(", ",TRUE,IF(B68="","Название",""),IF(C68="","Тип недвижимости",""),IF(D68="","Страна",""),IF(E68="","Город",""),IF(F68="","Улица",""),IF(I68="","Валюта",""),IF(OR(AL68="",AL68&lt;1),"Хотя бы 1 фото",""),IF(AND(OR(C68="Квартира",C68="Апартаменты",C68="Дом",C68="Вилла",C68="Коммерческая"),J68=""),"Площадь",""),IF(AND(OR(C68="Квартира",C68="Апартаменты"),K68=""),"Жилая площадь",""),IF(AND(OR(C68="Дом",C68="Вилла",C68="Земля"),L68=""),"Площадь участка",""),IF(AND(OR(C68="Квартира",C68="Апартаменты"),M68=""),"Комнаты",""),IF(AND(OR(C68="Дом",C68="Вилла"),N68=""),"Спальни",""),IF(AND(OR(C68="Квартира",C68="Апартаменты",C68="Дом",C68="Вилла"),O68=""),"Ванные",""),IF(AND(OR(C68="Квартира",C68="Апартаменты"),P68=""),"Этаж",""),IF(AND(OR(OR(C68="Квартира",C68="Апартаменты"),OR(C68="Дом",C68="Вилла")),Q68=""),"Этажей",""),IF(AND(OR(OR(C68="Квартира",C68="Апартаменты"),OR(C68="Дом",C68="Вилла")),OR(R68="",R68&gt;YEAR(TODAY()))),"Год постройки",""),IF(AND(P68&lt;&gt;"",Q68&lt;&gt;"",P68&gt;Q68),"Этаж больше этажности",""),IF(AND(OR(C68="Квартира",C68="Апартаменты",C68="Дом",C68="Вилла"),S68=""),"Материал",""),IF(AND(OR(C68="Коммерческая"),U68=""),"Тип коммерции",""),IF(AND(OR(C68="Земля"),V68=""),"Назначение земли",""),IF(OR(AQ68="",AQ68="Нет"),"Право собственности",""),IF(OR(AR68="",AR68="Нет"),"Справка об отсутствии обременений",""),IF(OR(X68="",X68&lt;=0),"Площадь участка проекта",""),IF(OR(Y68="",Y68&lt;=0),"Площадь строительства",""),IF(OR(Z68="",Z68&lt;0),"Стоимость участка",""),IF(OR(AA68="",AA68&lt;0),"Строительство",""),IF(OR(AB68="",AB68&lt;0),"Налоги и резерв",""),IF(OR(AC68="",AC68&lt;0),"Ожидаемая продажа",""),IF(OR(AD68="",AD68&lt;=0),"Капитал инвестора",""),IF(OR(AE68="",AE68&lt;=0,AE68&gt;600),"Срок в месяцах",""),IF(OR(AF68="",AF68&lt;0,AF68&gt;100),"Приоритетная доходность",""),IF(OR(AG68="",AG68&lt;0,AG68&gt;100),"Доля платформы",""),IF(AND(Z68&lt;&gt;"",AA68&lt;&gt;"",AB68&lt;&gt;"",AD68&lt;&gt;"",OR((Z68+AA68+AB68)&lt;=0,AD68&gt;(Z68+AA68+AB68))),"Капитал инвестора больше бюджета",""))))</f>
        <v/>
      </c>
      <c r="AU68" s="35">
        <f>IF(NOT(COUNTA(A68:AS68)&gt;0),"",IF(TEXTJOIN(", ",TRUE,IF(AO68="","Описание",""),IF(AND(AL68&lt;&gt;"",AL68&gt;=1,AL68&lt;5),"Фото меньше 5",""),IF(AN68="","Видео",""),IF(H68="","Кадастровый номер",""),IF(AM68="","Ссылка на фото",""),IF(W68="","Цель продавца",""),IF(AJ68="","Лицензия",""),IF(AK68="","Допущения и источники",""))="","",TEXTJOIN(", ",TRUE,IF(AO68="","Описание",""),IF(AND(AL68&lt;&gt;"",AL68&gt;=1,AL68&lt;5),"Фото меньше 5",""),IF(AN68="","Видео",""),IF(H68="","Кадастровый номер",""),IF(AM68="","Ссылка на фото",""),IF(W68="","Цель продавца",""),IF(AJ68="","Лицензия",""),IF(AK68="","Допущения и источники",""))))</f>
        <v/>
      </c>
      <c r="AV68" s="35">
        <f>IF(NOT(COUNTA(A68:AS68)&gt;0),"",IF(AT68="","Можно публиковать","Не хватает"))</f>
        <v/>
      </c>
    </row>
    <row r="69" ht="22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 t="n"/>
      <c r="K69" s="31" t="n"/>
      <c r="L69" s="31" t="n"/>
      <c r="M69" s="32" t="n"/>
      <c r="N69" s="32" t="n"/>
      <c r="O69" s="32" t="n"/>
      <c r="P69" s="32" t="n"/>
      <c r="Q69" s="32" t="n"/>
      <c r="R69" s="32" t="n"/>
      <c r="S69" s="30" t="n"/>
      <c r="T69" s="30" t="n"/>
      <c r="U69" s="30" t="n"/>
      <c r="V69" s="30" t="n"/>
      <c r="W69" s="30" t="n"/>
      <c r="X69" s="31" t="n"/>
      <c r="Y69" s="31" t="n"/>
      <c r="Z69" s="33" t="n"/>
      <c r="AA69" s="33" t="n"/>
      <c r="AB69" s="33" t="n"/>
      <c r="AC69" s="33" t="n"/>
      <c r="AD69" s="33" t="n"/>
      <c r="AE69" s="32" t="n"/>
      <c r="AF69" s="42" t="n"/>
      <c r="AG69" s="42" t="n"/>
      <c r="AH69" s="43">
        <f>IF(AND(Z69&lt;&gt;"",AA69&lt;&gt;"",AB69&lt;&gt;""),Z69+AA69+AB69,"")</f>
        <v/>
      </c>
      <c r="AI69" s="43">
        <f>IF(AND(AND(Z69&lt;&gt;"",AA69&lt;&gt;"",AB69&lt;&gt;""),AC69&lt;&gt;""),AC69-(Z69+AA69+AB69),"")</f>
        <v/>
      </c>
      <c r="AJ69" s="30" t="n"/>
      <c r="AK69" s="30" t="n"/>
      <c r="AL69" s="32" t="n"/>
      <c r="AM69" s="30" t="n"/>
      <c r="AN69" s="30" t="n"/>
      <c r="AO69" s="30" t="n"/>
      <c r="AP69" s="30" t="n"/>
      <c r="AQ69" s="30" t="n"/>
      <c r="AR69" s="30" t="n"/>
      <c r="AS69" s="30" t="n"/>
      <c r="AT69" s="35">
        <f>IF(NOT(COUNTA(A69:AS69)&gt;0),"",IF(TEXTJOIN(", ",TRUE,IF(B69="","Название",""),IF(C69="","Тип недвижимости",""),IF(D69="","Страна",""),IF(E69="","Город",""),IF(F69="","Улица",""),IF(I69="","Валюта",""),IF(OR(AL69="",AL69&lt;1),"Хотя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земли",""),IF(OR(AQ69="",AQ69="Нет"),"Право собственности",""),IF(OR(AR69="",AR69="Нет"),"Справка об отсутствии обременений",""),IF(OR(X69="",X69&lt;=0),"Площадь участка проекта",""),IF(OR(Y69="",Y69&lt;=0),"Площадь строительства",""),IF(OR(Z69="",Z69&lt;0),"Стоимость участка",""),IF(OR(AA69="",AA69&lt;0),"Строительство",""),IF(OR(AB69="",AB69&lt;0),"Налоги и резерв",""),IF(OR(AC69="",AC69&lt;0),"Ожидаемая продажа",""),IF(OR(AD69="",AD69&lt;=0),"Капитал инвестора",""),IF(OR(AE69="",AE69&lt;=0,AE69&gt;600),"Срок в месяцах",""),IF(OR(AF69="",AF69&lt;0,AF69&gt;100),"Приоритетная доходность",""),IF(OR(AG69="",AG69&lt;0,AG69&gt;100),"Доля платформы",""),IF(AND(Z69&lt;&gt;"",AA69&lt;&gt;"",AB69&lt;&gt;"",AD69&lt;&gt;"",OR((Z69+AA69+AB69)&lt;=0,AD69&gt;(Z69+AA69+AB69))),"Капитал инвестора больше бюджета",""))="","",TEXTJOIN(", ",TRUE,IF(B69="","Название",""),IF(C69="","Тип недвижимости",""),IF(D69="","Страна",""),IF(E69="","Город",""),IF(F69="","Улица",""),IF(I69="","Валюта",""),IF(OR(AL69="",AL69&lt;1),"Хотя бы 1 фото",""),IF(AND(OR(C69="Квартира",C69="Апартаменты",C69="Дом",C69="Вилла",C69="Коммерческая"),J69=""),"Площадь",""),IF(AND(OR(C69="Квартира",C69="Апартаменты"),K69=""),"Жилая площадь",""),IF(AND(OR(C69="Дом",C69="Вилла",C69="Земля"),L69=""),"Площадь участка",""),IF(AND(OR(C69="Квартира",C69="Апартаменты"),M69=""),"Комнаты",""),IF(AND(OR(C69="Дом",C69="Вилла"),N69=""),"Спальни",""),IF(AND(OR(C69="Квартира",C69="Апартаменты",C69="Дом",C69="Вилла"),O69=""),"Ванные",""),IF(AND(OR(C69="Квартира",C69="Апартаменты"),P69=""),"Этаж",""),IF(AND(OR(OR(C69="Квартира",C69="Апартаменты"),OR(C69="Дом",C69="Вилла")),Q69=""),"Этажей",""),IF(AND(OR(OR(C69="Квартира",C69="Апартаменты"),OR(C69="Дом",C69="Вилла")),OR(R69="",R69&gt;YEAR(TODAY()))),"Год постройки",""),IF(AND(P69&lt;&gt;"",Q69&lt;&gt;"",P69&gt;Q69),"Этаж больше этажности",""),IF(AND(OR(C69="Квартира",C69="Апартаменты",C69="Дом",C69="Вилла"),S69=""),"Материал",""),IF(AND(OR(C69="Коммерческая"),U69=""),"Тип коммерции",""),IF(AND(OR(C69="Земля"),V69=""),"Назначение земли",""),IF(OR(AQ69="",AQ69="Нет"),"Право собственности",""),IF(OR(AR69="",AR69="Нет"),"Справка об отсутствии обременений",""),IF(OR(X69="",X69&lt;=0),"Площадь участка проекта",""),IF(OR(Y69="",Y69&lt;=0),"Площадь строительства",""),IF(OR(Z69="",Z69&lt;0),"Стоимость участка",""),IF(OR(AA69="",AA69&lt;0),"Строительство",""),IF(OR(AB69="",AB69&lt;0),"Налоги и резерв",""),IF(OR(AC69="",AC69&lt;0),"Ожидаемая продажа",""),IF(OR(AD69="",AD69&lt;=0),"Капитал инвестора",""),IF(OR(AE69="",AE69&lt;=0,AE69&gt;600),"Срок в месяцах",""),IF(OR(AF69="",AF69&lt;0,AF69&gt;100),"Приоритетная доходность",""),IF(OR(AG69="",AG69&lt;0,AG69&gt;100),"Доля платформы",""),IF(AND(Z69&lt;&gt;"",AA69&lt;&gt;"",AB69&lt;&gt;"",AD69&lt;&gt;"",OR((Z69+AA69+AB69)&lt;=0,AD69&gt;(Z69+AA69+AB69))),"Капитал инвестора больше бюджета",""))))</f>
        <v/>
      </c>
      <c r="AU69" s="35">
        <f>IF(NOT(COUNTA(A69:AS69)&gt;0),"",IF(TEXTJOIN(", ",TRUE,IF(AO69="","Описание",""),IF(AND(AL69&lt;&gt;"",AL69&gt;=1,AL69&lt;5),"Фото меньше 5",""),IF(AN69="","Видео",""),IF(H69="","Кадастровый номер",""),IF(AM69="","Ссылка на фото",""),IF(W69="","Цель продавца",""),IF(AJ69="","Лицензия",""),IF(AK69="","Допущения и источники",""))="","",TEXTJOIN(", ",TRUE,IF(AO69="","Описание",""),IF(AND(AL69&lt;&gt;"",AL69&gt;=1,AL69&lt;5),"Фото меньше 5",""),IF(AN69="","Видео",""),IF(H69="","Кадастровый номер",""),IF(AM69="","Ссылка на фото",""),IF(W69="","Цель продавца",""),IF(AJ69="","Лицензия",""),IF(AK69="","Допущения и источники",""))))</f>
        <v/>
      </c>
      <c r="AV69" s="35">
        <f>IF(NOT(COUNTA(A69:AS69)&gt;0),"",IF(AT69="","Можно публиковать","Не хватает"))</f>
        <v/>
      </c>
    </row>
    <row r="70" ht="22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7" t="n"/>
      <c r="K70" s="37" t="n"/>
      <c r="L70" s="37" t="n"/>
      <c r="M70" s="38" t="n"/>
      <c r="N70" s="38" t="n"/>
      <c r="O70" s="38" t="n"/>
      <c r="P70" s="38" t="n"/>
      <c r="Q70" s="38" t="n"/>
      <c r="R70" s="38" t="n"/>
      <c r="S70" s="36" t="n"/>
      <c r="T70" s="36" t="n"/>
      <c r="U70" s="36" t="n"/>
      <c r="V70" s="36" t="n"/>
      <c r="W70" s="36" t="n"/>
      <c r="X70" s="37" t="n"/>
      <c r="Y70" s="37" t="n"/>
      <c r="Z70" s="39" t="n"/>
      <c r="AA70" s="39" t="n"/>
      <c r="AB70" s="39" t="n"/>
      <c r="AC70" s="39" t="n"/>
      <c r="AD70" s="39" t="n"/>
      <c r="AE70" s="38" t="n"/>
      <c r="AF70" s="44" t="n"/>
      <c r="AG70" s="44" t="n"/>
      <c r="AH70" s="43">
        <f>IF(AND(Z70&lt;&gt;"",AA70&lt;&gt;"",AB70&lt;&gt;""),Z70+AA70+AB70,"")</f>
        <v/>
      </c>
      <c r="AI70" s="43">
        <f>IF(AND(AND(Z70&lt;&gt;"",AA70&lt;&gt;"",AB70&lt;&gt;""),AC70&lt;&gt;""),AC70-(Z70+AA70+AB70),"")</f>
        <v/>
      </c>
      <c r="AJ70" s="36" t="n"/>
      <c r="AK70" s="36" t="n"/>
      <c r="AL70" s="38" t="n"/>
      <c r="AM70" s="36" t="n"/>
      <c r="AN70" s="36" t="n"/>
      <c r="AO70" s="36" t="n"/>
      <c r="AP70" s="36" t="n"/>
      <c r="AQ70" s="36" t="n"/>
      <c r="AR70" s="36" t="n"/>
      <c r="AS70" s="36" t="n"/>
      <c r="AT70" s="35">
        <f>IF(NOT(COUNTA(A70:AS70)&gt;0),"",IF(TEXTJOIN(", ",TRUE,IF(B70="","Название",""),IF(C70="","Тип недвижимости",""),IF(D70="","Страна",""),IF(E70="","Город",""),IF(F70="","Улица",""),IF(I70="","Валюта",""),IF(OR(AL70="",AL70&lt;1),"Хотя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земли",""),IF(OR(AQ70="",AQ70="Нет"),"Право собственности",""),IF(OR(AR70="",AR70="Нет"),"Справка об отсутствии обременений",""),IF(OR(X70="",X70&lt;=0),"Площадь участка проекта",""),IF(OR(Y70="",Y70&lt;=0),"Площадь строительства",""),IF(OR(Z70="",Z70&lt;0),"Стоимость участка",""),IF(OR(AA70="",AA70&lt;0),"Строительство",""),IF(OR(AB70="",AB70&lt;0),"Налоги и резерв",""),IF(OR(AC70="",AC70&lt;0),"Ожидаемая продажа",""),IF(OR(AD70="",AD70&lt;=0),"Капитал инвестора",""),IF(OR(AE70="",AE70&lt;=0,AE70&gt;600),"Срок в месяцах",""),IF(OR(AF70="",AF70&lt;0,AF70&gt;100),"Приоритетная доходность",""),IF(OR(AG70="",AG70&lt;0,AG70&gt;100),"Доля платформы",""),IF(AND(Z70&lt;&gt;"",AA70&lt;&gt;"",AB70&lt;&gt;"",AD70&lt;&gt;"",OR((Z70+AA70+AB70)&lt;=0,AD70&gt;(Z70+AA70+AB70))),"Капитал инвестора больше бюджета",""))="","",TEXTJOIN(", ",TRUE,IF(B70="","Название",""),IF(C70="","Тип недвижимости",""),IF(D70="","Страна",""),IF(E70="","Город",""),IF(F70="","Улица",""),IF(I70="","Валюта",""),IF(OR(AL70="",AL70&lt;1),"Хотя бы 1 фото",""),IF(AND(OR(C70="Квартира",C70="Апартаменты",C70="Дом",C70="Вилла",C70="Коммерческая"),J70=""),"Площадь",""),IF(AND(OR(C70="Квартира",C70="Апартаменты"),K70=""),"Жилая площадь",""),IF(AND(OR(C70="Дом",C70="Вилла",C70="Земля"),L70=""),"Площадь участка",""),IF(AND(OR(C70="Квартира",C70="Апартаменты"),M70=""),"Комнаты",""),IF(AND(OR(C70="Дом",C70="Вилла"),N70=""),"Спальни",""),IF(AND(OR(C70="Квартира",C70="Апартаменты",C70="Дом",C70="Вилла"),O70=""),"Ванные",""),IF(AND(OR(C70="Квартира",C70="Апартаменты"),P70=""),"Этаж",""),IF(AND(OR(OR(C70="Квартира",C70="Апартаменты"),OR(C70="Дом",C70="Вилла")),Q70=""),"Этажей",""),IF(AND(OR(OR(C70="Квартира",C70="Апартаменты"),OR(C70="Дом",C70="Вилла")),OR(R70="",R70&gt;YEAR(TODAY()))),"Год постройки",""),IF(AND(P70&lt;&gt;"",Q70&lt;&gt;"",P70&gt;Q70),"Этаж больше этажности",""),IF(AND(OR(C70="Квартира",C70="Апартаменты",C70="Дом",C70="Вилла"),S70=""),"Материал",""),IF(AND(OR(C70="Коммерческая"),U70=""),"Тип коммерции",""),IF(AND(OR(C70="Земля"),V70=""),"Назначение земли",""),IF(OR(AQ70="",AQ70="Нет"),"Право собственности",""),IF(OR(AR70="",AR70="Нет"),"Справка об отсутствии обременений",""),IF(OR(X70="",X70&lt;=0),"Площадь участка проекта",""),IF(OR(Y70="",Y70&lt;=0),"Площадь строительства",""),IF(OR(Z70="",Z70&lt;0),"Стоимость участка",""),IF(OR(AA70="",AA70&lt;0),"Строительство",""),IF(OR(AB70="",AB70&lt;0),"Налоги и резерв",""),IF(OR(AC70="",AC70&lt;0),"Ожидаемая продажа",""),IF(OR(AD70="",AD70&lt;=0),"Капитал инвестора",""),IF(OR(AE70="",AE70&lt;=0,AE70&gt;600),"Срок в месяцах",""),IF(OR(AF70="",AF70&lt;0,AF70&gt;100),"Приоритетная доходность",""),IF(OR(AG70="",AG70&lt;0,AG70&gt;100),"Доля платформы",""),IF(AND(Z70&lt;&gt;"",AA70&lt;&gt;"",AB70&lt;&gt;"",AD70&lt;&gt;"",OR((Z70+AA70+AB70)&lt;=0,AD70&gt;(Z70+AA70+AB70))),"Капитал инвестора больше бюджета",""))))</f>
        <v/>
      </c>
      <c r="AU70" s="35">
        <f>IF(NOT(COUNTA(A70:AS70)&gt;0),"",IF(TEXTJOIN(", ",TRUE,IF(AO70="","Описание",""),IF(AND(AL70&lt;&gt;"",AL70&gt;=1,AL70&lt;5),"Фото меньше 5",""),IF(AN70="","Видео",""),IF(H70="","Кадастровый номер",""),IF(AM70="","Ссылка на фото",""),IF(W70="","Цель продавца",""),IF(AJ70="","Лицензия",""),IF(AK70="","Допущения и источники",""))="","",TEXTJOIN(", ",TRUE,IF(AO70="","Описание",""),IF(AND(AL70&lt;&gt;"",AL70&gt;=1,AL70&lt;5),"Фото меньше 5",""),IF(AN70="","Видео",""),IF(H70="","Кадастровый номер",""),IF(AM70="","Ссылка на фото",""),IF(W70="","Цель продавца",""),IF(AJ70="","Лицензия",""),IF(AK70="","Допущения и источники",""))))</f>
        <v/>
      </c>
      <c r="AV70" s="35">
        <f>IF(NOT(COUNTA(A70:AS70)&gt;0),"",IF(AT70="","Можно публиковать","Не хватает"))</f>
        <v/>
      </c>
    </row>
    <row r="71" ht="22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 t="n"/>
      <c r="K71" s="31" t="n"/>
      <c r="L71" s="31" t="n"/>
      <c r="M71" s="32" t="n"/>
      <c r="N71" s="32" t="n"/>
      <c r="O71" s="32" t="n"/>
      <c r="P71" s="32" t="n"/>
      <c r="Q71" s="32" t="n"/>
      <c r="R71" s="32" t="n"/>
      <c r="S71" s="30" t="n"/>
      <c r="T71" s="30" t="n"/>
      <c r="U71" s="30" t="n"/>
      <c r="V71" s="30" t="n"/>
      <c r="W71" s="30" t="n"/>
      <c r="X71" s="31" t="n"/>
      <c r="Y71" s="31" t="n"/>
      <c r="Z71" s="33" t="n"/>
      <c r="AA71" s="33" t="n"/>
      <c r="AB71" s="33" t="n"/>
      <c r="AC71" s="33" t="n"/>
      <c r="AD71" s="33" t="n"/>
      <c r="AE71" s="32" t="n"/>
      <c r="AF71" s="42" t="n"/>
      <c r="AG71" s="42" t="n"/>
      <c r="AH71" s="43">
        <f>IF(AND(Z71&lt;&gt;"",AA71&lt;&gt;"",AB71&lt;&gt;""),Z71+AA71+AB71,"")</f>
        <v/>
      </c>
      <c r="AI71" s="43">
        <f>IF(AND(AND(Z71&lt;&gt;"",AA71&lt;&gt;"",AB71&lt;&gt;""),AC71&lt;&gt;""),AC71-(Z71+AA71+AB71),"")</f>
        <v/>
      </c>
      <c r="AJ71" s="30" t="n"/>
      <c r="AK71" s="30" t="n"/>
      <c r="AL71" s="32" t="n"/>
      <c r="AM71" s="30" t="n"/>
      <c r="AN71" s="30" t="n"/>
      <c r="AO71" s="30" t="n"/>
      <c r="AP71" s="30" t="n"/>
      <c r="AQ71" s="30" t="n"/>
      <c r="AR71" s="30" t="n"/>
      <c r="AS71" s="30" t="n"/>
      <c r="AT71" s="35">
        <f>IF(NOT(COUNTA(A71:AS71)&gt;0),"",IF(TEXTJOIN(", ",TRUE,IF(B71="","Название",""),IF(C71="","Тип недвижимости",""),IF(D71="","Страна",""),IF(E71="","Город",""),IF(F71="","Улица",""),IF(I71="","Валюта",""),IF(OR(AL71="",AL71&lt;1),"Хотя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земли",""),IF(OR(AQ71="",AQ71="Нет"),"Право собственности",""),IF(OR(AR71="",AR71="Нет"),"Справка об отсутствии обременений",""),IF(OR(X71="",X71&lt;=0),"Площадь участка проекта",""),IF(OR(Y71="",Y71&lt;=0),"Площадь строительства",""),IF(OR(Z71="",Z71&lt;0),"Стоимость участка",""),IF(OR(AA71="",AA71&lt;0),"Строительство",""),IF(OR(AB71="",AB71&lt;0),"Налоги и резерв",""),IF(OR(AC71="",AC71&lt;0),"Ожидаемая продажа",""),IF(OR(AD71="",AD71&lt;=0),"Капитал инвестора",""),IF(OR(AE71="",AE71&lt;=0,AE71&gt;600),"Срок в месяцах",""),IF(OR(AF71="",AF71&lt;0,AF71&gt;100),"Приоритетная доходность",""),IF(OR(AG71="",AG71&lt;0,AG71&gt;100),"Доля платформы",""),IF(AND(Z71&lt;&gt;"",AA71&lt;&gt;"",AB71&lt;&gt;"",AD71&lt;&gt;"",OR((Z71+AA71+AB71)&lt;=0,AD71&gt;(Z71+AA71+AB71))),"Капитал инвестора больше бюджета",""))="","",TEXTJOIN(", ",TRUE,IF(B71="","Название",""),IF(C71="","Тип недвижимости",""),IF(D71="","Страна",""),IF(E71="","Город",""),IF(F71="","Улица",""),IF(I71="","Валюта",""),IF(OR(AL71="",AL71&lt;1),"Хотя бы 1 фото",""),IF(AND(OR(C71="Квартира",C71="Апартаменты",C71="Дом",C71="Вилла",C71="Коммерческая"),J71=""),"Площадь",""),IF(AND(OR(C71="Квартира",C71="Апартаменты"),K71=""),"Жилая площадь",""),IF(AND(OR(C71="Дом",C71="Вилла",C71="Земля"),L71=""),"Площадь участка",""),IF(AND(OR(C71="Квартира",C71="Апартаменты"),M71=""),"Комнаты",""),IF(AND(OR(C71="Дом",C71="Вилла"),N71=""),"Спальни",""),IF(AND(OR(C71="Квартира",C71="Апартаменты",C71="Дом",C71="Вилла"),O71=""),"Ванные",""),IF(AND(OR(C71="Квартира",C71="Апартаменты"),P71=""),"Этаж",""),IF(AND(OR(OR(C71="Квартира",C71="Апартаменты"),OR(C71="Дом",C71="Вилла")),Q71=""),"Этажей",""),IF(AND(OR(OR(C71="Квартира",C71="Апартаменты"),OR(C71="Дом",C71="Вилла")),OR(R71="",R71&gt;YEAR(TODAY()))),"Год постройки",""),IF(AND(P71&lt;&gt;"",Q71&lt;&gt;"",P71&gt;Q71),"Этаж больше этажности",""),IF(AND(OR(C71="Квартира",C71="Апартаменты",C71="Дом",C71="Вилла"),S71=""),"Материал",""),IF(AND(OR(C71="Коммерческая"),U71=""),"Тип коммерции",""),IF(AND(OR(C71="Земля"),V71=""),"Назначение земли",""),IF(OR(AQ71="",AQ71="Нет"),"Право собственности",""),IF(OR(AR71="",AR71="Нет"),"Справка об отсутствии обременений",""),IF(OR(X71="",X71&lt;=0),"Площадь участка проекта",""),IF(OR(Y71="",Y71&lt;=0),"Площадь строительства",""),IF(OR(Z71="",Z71&lt;0),"Стоимость участка",""),IF(OR(AA71="",AA71&lt;0),"Строительство",""),IF(OR(AB71="",AB71&lt;0),"Налоги и резерв",""),IF(OR(AC71="",AC71&lt;0),"Ожидаемая продажа",""),IF(OR(AD71="",AD71&lt;=0),"Капитал инвестора",""),IF(OR(AE71="",AE71&lt;=0,AE71&gt;600),"Срок в месяцах",""),IF(OR(AF71="",AF71&lt;0,AF71&gt;100),"Приоритетная доходность",""),IF(OR(AG71="",AG71&lt;0,AG71&gt;100),"Доля платформы",""),IF(AND(Z71&lt;&gt;"",AA71&lt;&gt;"",AB71&lt;&gt;"",AD71&lt;&gt;"",OR((Z71+AA71+AB71)&lt;=0,AD71&gt;(Z71+AA71+AB71))),"Капитал инвестора больше бюджета",""))))</f>
        <v/>
      </c>
      <c r="AU71" s="35">
        <f>IF(NOT(COUNTA(A71:AS71)&gt;0),"",IF(TEXTJOIN(", ",TRUE,IF(AO71="","Описание",""),IF(AND(AL71&lt;&gt;"",AL71&gt;=1,AL71&lt;5),"Фото меньше 5",""),IF(AN71="","Видео",""),IF(H71="","Кадастровый номер",""),IF(AM71="","Ссылка на фото",""),IF(W71="","Цель продавца",""),IF(AJ71="","Лицензия",""),IF(AK71="","Допущения и источники",""))="","",TEXTJOIN(", ",TRUE,IF(AO71="","Описание",""),IF(AND(AL71&lt;&gt;"",AL71&gt;=1,AL71&lt;5),"Фото меньше 5",""),IF(AN71="","Видео",""),IF(H71="","Кадастровый номер",""),IF(AM71="","Ссылка на фото",""),IF(W71="","Цель продавца",""),IF(AJ71="","Лицензия",""),IF(AK71="","Допущения и источники",""))))</f>
        <v/>
      </c>
      <c r="AV71" s="35">
        <f>IF(NOT(COUNTA(A71:AS71)&gt;0),"",IF(AT71="","Можно публиковать","Не хватает"))</f>
        <v/>
      </c>
    </row>
    <row r="72" ht="22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7" t="n"/>
      <c r="K72" s="37" t="n"/>
      <c r="L72" s="37" t="n"/>
      <c r="M72" s="38" t="n"/>
      <c r="N72" s="38" t="n"/>
      <c r="O72" s="38" t="n"/>
      <c r="P72" s="38" t="n"/>
      <c r="Q72" s="38" t="n"/>
      <c r="R72" s="38" t="n"/>
      <c r="S72" s="36" t="n"/>
      <c r="T72" s="36" t="n"/>
      <c r="U72" s="36" t="n"/>
      <c r="V72" s="36" t="n"/>
      <c r="W72" s="36" t="n"/>
      <c r="X72" s="37" t="n"/>
      <c r="Y72" s="37" t="n"/>
      <c r="Z72" s="39" t="n"/>
      <c r="AA72" s="39" t="n"/>
      <c r="AB72" s="39" t="n"/>
      <c r="AC72" s="39" t="n"/>
      <c r="AD72" s="39" t="n"/>
      <c r="AE72" s="38" t="n"/>
      <c r="AF72" s="44" t="n"/>
      <c r="AG72" s="44" t="n"/>
      <c r="AH72" s="43">
        <f>IF(AND(Z72&lt;&gt;"",AA72&lt;&gt;"",AB72&lt;&gt;""),Z72+AA72+AB72,"")</f>
        <v/>
      </c>
      <c r="AI72" s="43">
        <f>IF(AND(AND(Z72&lt;&gt;"",AA72&lt;&gt;"",AB72&lt;&gt;""),AC72&lt;&gt;""),AC72-(Z72+AA72+AB72),"")</f>
        <v/>
      </c>
      <c r="AJ72" s="36" t="n"/>
      <c r="AK72" s="36" t="n"/>
      <c r="AL72" s="38" t="n"/>
      <c r="AM72" s="36" t="n"/>
      <c r="AN72" s="36" t="n"/>
      <c r="AO72" s="36" t="n"/>
      <c r="AP72" s="36" t="n"/>
      <c r="AQ72" s="36" t="n"/>
      <c r="AR72" s="36" t="n"/>
      <c r="AS72" s="36" t="n"/>
      <c r="AT72" s="35">
        <f>IF(NOT(COUNTA(A72:AS72)&gt;0),"",IF(TEXTJOIN(", ",TRUE,IF(B72="","Название",""),IF(C72="","Тип недвижимости",""),IF(D72="","Страна",""),IF(E72="","Город",""),IF(F72="","Улица",""),IF(I72="","Валюта",""),IF(OR(AL72="",AL72&lt;1),"Хотя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земли",""),IF(OR(AQ72="",AQ72="Нет"),"Право собственности",""),IF(OR(AR72="",AR72="Нет"),"Справка об отсутствии обременений",""),IF(OR(X72="",X72&lt;=0),"Площадь участка проекта",""),IF(OR(Y72="",Y72&lt;=0),"Площадь строительства",""),IF(OR(Z72="",Z72&lt;0),"Стоимость участка",""),IF(OR(AA72="",AA72&lt;0),"Строительство",""),IF(OR(AB72="",AB72&lt;0),"Налоги и резерв",""),IF(OR(AC72="",AC72&lt;0),"Ожидаемая продажа",""),IF(OR(AD72="",AD72&lt;=0),"Капитал инвестора",""),IF(OR(AE72="",AE72&lt;=0,AE72&gt;600),"Срок в месяцах",""),IF(OR(AF72="",AF72&lt;0,AF72&gt;100),"Приоритетная доходность",""),IF(OR(AG72="",AG72&lt;0,AG72&gt;100),"Доля платформы",""),IF(AND(Z72&lt;&gt;"",AA72&lt;&gt;"",AB72&lt;&gt;"",AD72&lt;&gt;"",OR((Z72+AA72+AB72)&lt;=0,AD72&gt;(Z72+AA72+AB72))),"Капитал инвестора больше бюджета",""))="","",TEXTJOIN(", ",TRUE,IF(B72="","Название",""),IF(C72="","Тип недвижимости",""),IF(D72="","Страна",""),IF(E72="","Город",""),IF(F72="","Улица",""),IF(I72="","Валюта",""),IF(OR(AL72="",AL72&lt;1),"Хотя бы 1 фото",""),IF(AND(OR(C72="Квартира",C72="Апартаменты",C72="Дом",C72="Вилла",C72="Коммерческая"),J72=""),"Площадь",""),IF(AND(OR(C72="Квартира",C72="Апартаменты"),K72=""),"Жилая площадь",""),IF(AND(OR(C72="Дом",C72="Вилла",C72="Земля"),L72=""),"Площадь участка",""),IF(AND(OR(C72="Квартира",C72="Апартаменты"),M72=""),"Комнаты",""),IF(AND(OR(C72="Дом",C72="Вилла"),N72=""),"Спальни",""),IF(AND(OR(C72="Квартира",C72="Апартаменты",C72="Дом",C72="Вилла"),O72=""),"Ванные",""),IF(AND(OR(C72="Квартира",C72="Апартаменты"),P72=""),"Этаж",""),IF(AND(OR(OR(C72="Квартира",C72="Апартаменты"),OR(C72="Дом",C72="Вилла")),Q72=""),"Этажей",""),IF(AND(OR(OR(C72="Квартира",C72="Апартаменты"),OR(C72="Дом",C72="Вилла")),OR(R72="",R72&gt;YEAR(TODAY()))),"Год постройки",""),IF(AND(P72&lt;&gt;"",Q72&lt;&gt;"",P72&gt;Q72),"Этаж больше этажности",""),IF(AND(OR(C72="Квартира",C72="Апартаменты",C72="Дом",C72="Вилла"),S72=""),"Материал",""),IF(AND(OR(C72="Коммерческая"),U72=""),"Тип коммерции",""),IF(AND(OR(C72="Земля"),V72=""),"Назначение земли",""),IF(OR(AQ72="",AQ72="Нет"),"Право собственности",""),IF(OR(AR72="",AR72="Нет"),"Справка об отсутствии обременений",""),IF(OR(X72="",X72&lt;=0),"Площадь участка проекта",""),IF(OR(Y72="",Y72&lt;=0),"Площадь строительства",""),IF(OR(Z72="",Z72&lt;0),"Стоимость участка",""),IF(OR(AA72="",AA72&lt;0),"Строительство",""),IF(OR(AB72="",AB72&lt;0),"Налоги и резерв",""),IF(OR(AC72="",AC72&lt;0),"Ожидаемая продажа",""),IF(OR(AD72="",AD72&lt;=0),"Капитал инвестора",""),IF(OR(AE72="",AE72&lt;=0,AE72&gt;600),"Срок в месяцах",""),IF(OR(AF72="",AF72&lt;0,AF72&gt;100),"Приоритетная доходность",""),IF(OR(AG72="",AG72&lt;0,AG72&gt;100),"Доля платформы",""),IF(AND(Z72&lt;&gt;"",AA72&lt;&gt;"",AB72&lt;&gt;"",AD72&lt;&gt;"",OR((Z72+AA72+AB72)&lt;=0,AD72&gt;(Z72+AA72+AB72))),"Капитал инвестора больше бюджета",""))))</f>
        <v/>
      </c>
      <c r="AU72" s="35">
        <f>IF(NOT(COUNTA(A72:AS72)&gt;0),"",IF(TEXTJOIN(", ",TRUE,IF(AO72="","Описание",""),IF(AND(AL72&lt;&gt;"",AL72&gt;=1,AL72&lt;5),"Фото меньше 5",""),IF(AN72="","Видео",""),IF(H72="","Кадастровый номер",""),IF(AM72="","Ссылка на фото",""),IF(W72="","Цель продавца",""),IF(AJ72="","Лицензия",""),IF(AK72="","Допущения и источники",""))="","",TEXTJOIN(", ",TRUE,IF(AO72="","Описание",""),IF(AND(AL72&lt;&gt;"",AL72&gt;=1,AL72&lt;5),"Фото меньше 5",""),IF(AN72="","Видео",""),IF(H72="","Кадастровый номер",""),IF(AM72="","Ссылка на фото",""),IF(W72="","Цель продавца",""),IF(AJ72="","Лицензия",""),IF(AK72="","Допущения и источники",""))))</f>
        <v/>
      </c>
      <c r="AV72" s="35">
        <f>IF(NOT(COUNTA(A72:AS72)&gt;0),"",IF(AT72="","Можно публиковать","Не хватает"))</f>
        <v/>
      </c>
    </row>
    <row r="73" ht="22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 t="n"/>
      <c r="K73" s="31" t="n"/>
      <c r="L73" s="31" t="n"/>
      <c r="M73" s="32" t="n"/>
      <c r="N73" s="32" t="n"/>
      <c r="O73" s="32" t="n"/>
      <c r="P73" s="32" t="n"/>
      <c r="Q73" s="32" t="n"/>
      <c r="R73" s="32" t="n"/>
      <c r="S73" s="30" t="n"/>
      <c r="T73" s="30" t="n"/>
      <c r="U73" s="30" t="n"/>
      <c r="V73" s="30" t="n"/>
      <c r="W73" s="30" t="n"/>
      <c r="X73" s="31" t="n"/>
      <c r="Y73" s="31" t="n"/>
      <c r="Z73" s="33" t="n"/>
      <c r="AA73" s="33" t="n"/>
      <c r="AB73" s="33" t="n"/>
      <c r="AC73" s="33" t="n"/>
      <c r="AD73" s="33" t="n"/>
      <c r="AE73" s="32" t="n"/>
      <c r="AF73" s="42" t="n"/>
      <c r="AG73" s="42" t="n"/>
      <c r="AH73" s="43">
        <f>IF(AND(Z73&lt;&gt;"",AA73&lt;&gt;"",AB73&lt;&gt;""),Z73+AA73+AB73,"")</f>
        <v/>
      </c>
      <c r="AI73" s="43">
        <f>IF(AND(AND(Z73&lt;&gt;"",AA73&lt;&gt;"",AB73&lt;&gt;""),AC73&lt;&gt;""),AC73-(Z73+AA73+AB73),"")</f>
        <v/>
      </c>
      <c r="AJ73" s="30" t="n"/>
      <c r="AK73" s="30" t="n"/>
      <c r="AL73" s="32" t="n"/>
      <c r="AM73" s="30" t="n"/>
      <c r="AN73" s="30" t="n"/>
      <c r="AO73" s="30" t="n"/>
      <c r="AP73" s="30" t="n"/>
      <c r="AQ73" s="30" t="n"/>
      <c r="AR73" s="30" t="n"/>
      <c r="AS73" s="30" t="n"/>
      <c r="AT73" s="35">
        <f>IF(NOT(COUNTA(A73:AS73)&gt;0),"",IF(TEXTJOIN(", ",TRUE,IF(B73="","Название",""),IF(C73="","Тип недвижимости",""),IF(D73="","Страна",""),IF(E73="","Город",""),IF(F73="","Улица",""),IF(I73="","Валюта",""),IF(OR(AL73="",AL73&lt;1),"Хотя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земли",""),IF(OR(AQ73="",AQ73="Нет"),"Право собственности",""),IF(OR(AR73="",AR73="Нет"),"Справка об отсутствии обременений",""),IF(OR(X73="",X73&lt;=0),"Площадь участка проекта",""),IF(OR(Y73="",Y73&lt;=0),"Площадь строительства",""),IF(OR(Z73="",Z73&lt;0),"Стоимость участка",""),IF(OR(AA73="",AA73&lt;0),"Строительство",""),IF(OR(AB73="",AB73&lt;0),"Налоги и резерв",""),IF(OR(AC73="",AC73&lt;0),"Ожидаемая продажа",""),IF(OR(AD73="",AD73&lt;=0),"Капитал инвестора",""),IF(OR(AE73="",AE73&lt;=0,AE73&gt;600),"Срок в месяцах",""),IF(OR(AF73="",AF73&lt;0,AF73&gt;100),"Приоритетная доходность",""),IF(OR(AG73="",AG73&lt;0,AG73&gt;100),"Доля платформы",""),IF(AND(Z73&lt;&gt;"",AA73&lt;&gt;"",AB73&lt;&gt;"",AD73&lt;&gt;"",OR((Z73+AA73+AB73)&lt;=0,AD73&gt;(Z73+AA73+AB73))),"Капитал инвестора больше бюджета",""))="","",TEXTJOIN(", ",TRUE,IF(B73="","Название",""),IF(C73="","Тип недвижимости",""),IF(D73="","Страна",""),IF(E73="","Город",""),IF(F73="","Улица",""),IF(I73="","Валюта",""),IF(OR(AL73="",AL73&lt;1),"Хотя бы 1 фото",""),IF(AND(OR(C73="Квартира",C73="Апартаменты",C73="Дом",C73="Вилла",C73="Коммерческая"),J73=""),"Площадь",""),IF(AND(OR(C73="Квартира",C73="Апартаменты"),K73=""),"Жилая площадь",""),IF(AND(OR(C73="Дом",C73="Вилла",C73="Земля"),L73=""),"Площадь участка",""),IF(AND(OR(C73="Квартира",C73="Апартаменты"),M73=""),"Комнаты",""),IF(AND(OR(C73="Дом",C73="Вилла"),N73=""),"Спальни",""),IF(AND(OR(C73="Квартира",C73="Апартаменты",C73="Дом",C73="Вилла"),O73=""),"Ванные",""),IF(AND(OR(C73="Квартира",C73="Апартаменты"),P73=""),"Этаж",""),IF(AND(OR(OR(C73="Квартира",C73="Апартаменты"),OR(C73="Дом",C73="Вилла")),Q73=""),"Этажей",""),IF(AND(OR(OR(C73="Квартира",C73="Апартаменты"),OR(C73="Дом",C73="Вилла")),OR(R73="",R73&gt;YEAR(TODAY()))),"Год постройки",""),IF(AND(P73&lt;&gt;"",Q73&lt;&gt;"",P73&gt;Q73),"Этаж больше этажности",""),IF(AND(OR(C73="Квартира",C73="Апартаменты",C73="Дом",C73="Вилла"),S73=""),"Материал",""),IF(AND(OR(C73="Коммерческая"),U73=""),"Тип коммерции",""),IF(AND(OR(C73="Земля"),V73=""),"Назначение земли",""),IF(OR(AQ73="",AQ73="Нет"),"Право собственности",""),IF(OR(AR73="",AR73="Нет"),"Справка об отсутствии обременений",""),IF(OR(X73="",X73&lt;=0),"Площадь участка проекта",""),IF(OR(Y73="",Y73&lt;=0),"Площадь строительства",""),IF(OR(Z73="",Z73&lt;0),"Стоимость участка",""),IF(OR(AA73="",AA73&lt;0),"Строительство",""),IF(OR(AB73="",AB73&lt;0),"Налоги и резерв",""),IF(OR(AC73="",AC73&lt;0),"Ожидаемая продажа",""),IF(OR(AD73="",AD73&lt;=0),"Капитал инвестора",""),IF(OR(AE73="",AE73&lt;=0,AE73&gt;600),"Срок в месяцах",""),IF(OR(AF73="",AF73&lt;0,AF73&gt;100),"Приоритетная доходность",""),IF(OR(AG73="",AG73&lt;0,AG73&gt;100),"Доля платформы",""),IF(AND(Z73&lt;&gt;"",AA73&lt;&gt;"",AB73&lt;&gt;"",AD73&lt;&gt;"",OR((Z73+AA73+AB73)&lt;=0,AD73&gt;(Z73+AA73+AB73))),"Капитал инвестора больше бюджета",""))))</f>
        <v/>
      </c>
      <c r="AU73" s="35">
        <f>IF(NOT(COUNTA(A73:AS73)&gt;0),"",IF(TEXTJOIN(", ",TRUE,IF(AO73="","Описание",""),IF(AND(AL73&lt;&gt;"",AL73&gt;=1,AL73&lt;5),"Фото меньше 5",""),IF(AN73="","Видео",""),IF(H73="","Кадастровый номер",""),IF(AM73="","Ссылка на фото",""),IF(W73="","Цель продавца",""),IF(AJ73="","Лицензия",""),IF(AK73="","Допущения и источники",""))="","",TEXTJOIN(", ",TRUE,IF(AO73="","Описание",""),IF(AND(AL73&lt;&gt;"",AL73&gt;=1,AL73&lt;5),"Фото меньше 5",""),IF(AN73="","Видео",""),IF(H73="","Кадастровый номер",""),IF(AM73="","Ссылка на фото",""),IF(W73="","Цель продавца",""),IF(AJ73="","Лицензия",""),IF(AK73="","Допущения и источники",""))))</f>
        <v/>
      </c>
      <c r="AV73" s="35">
        <f>IF(NOT(COUNTA(A73:AS73)&gt;0),"",IF(AT73="","Можно публиковать","Не хватает"))</f>
        <v/>
      </c>
    </row>
    <row r="74" ht="22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7" t="n"/>
      <c r="K74" s="37" t="n"/>
      <c r="L74" s="37" t="n"/>
      <c r="M74" s="38" t="n"/>
      <c r="N74" s="38" t="n"/>
      <c r="O74" s="38" t="n"/>
      <c r="P74" s="38" t="n"/>
      <c r="Q74" s="38" t="n"/>
      <c r="R74" s="38" t="n"/>
      <c r="S74" s="36" t="n"/>
      <c r="T74" s="36" t="n"/>
      <c r="U74" s="36" t="n"/>
      <c r="V74" s="36" t="n"/>
      <c r="W74" s="36" t="n"/>
      <c r="X74" s="37" t="n"/>
      <c r="Y74" s="37" t="n"/>
      <c r="Z74" s="39" t="n"/>
      <c r="AA74" s="39" t="n"/>
      <c r="AB74" s="39" t="n"/>
      <c r="AC74" s="39" t="n"/>
      <c r="AD74" s="39" t="n"/>
      <c r="AE74" s="38" t="n"/>
      <c r="AF74" s="44" t="n"/>
      <c r="AG74" s="44" t="n"/>
      <c r="AH74" s="43">
        <f>IF(AND(Z74&lt;&gt;"",AA74&lt;&gt;"",AB74&lt;&gt;""),Z74+AA74+AB74,"")</f>
        <v/>
      </c>
      <c r="AI74" s="43">
        <f>IF(AND(AND(Z74&lt;&gt;"",AA74&lt;&gt;"",AB74&lt;&gt;""),AC74&lt;&gt;""),AC74-(Z74+AA74+AB74),"")</f>
        <v/>
      </c>
      <c r="AJ74" s="36" t="n"/>
      <c r="AK74" s="36" t="n"/>
      <c r="AL74" s="38" t="n"/>
      <c r="AM74" s="36" t="n"/>
      <c r="AN74" s="36" t="n"/>
      <c r="AO74" s="36" t="n"/>
      <c r="AP74" s="36" t="n"/>
      <c r="AQ74" s="36" t="n"/>
      <c r="AR74" s="36" t="n"/>
      <c r="AS74" s="36" t="n"/>
      <c r="AT74" s="35">
        <f>IF(NOT(COUNTA(A74:AS74)&gt;0),"",IF(TEXTJOIN(", ",TRUE,IF(B74="","Название",""),IF(C74="","Тип недвижимости",""),IF(D74="","Страна",""),IF(E74="","Город",""),IF(F74="","Улица",""),IF(I74="","Валюта",""),IF(OR(AL74="",AL74&lt;1),"Хотя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земли",""),IF(OR(AQ74="",AQ74="Нет"),"Право собственности",""),IF(OR(AR74="",AR74="Нет"),"Справка об отсутствии обременений",""),IF(OR(X74="",X74&lt;=0),"Площадь участка проекта",""),IF(OR(Y74="",Y74&lt;=0),"Площадь строительства",""),IF(OR(Z74="",Z74&lt;0),"Стоимость участка",""),IF(OR(AA74="",AA74&lt;0),"Строительство",""),IF(OR(AB74="",AB74&lt;0),"Налоги и резерв",""),IF(OR(AC74="",AC74&lt;0),"Ожидаемая продажа",""),IF(OR(AD74="",AD74&lt;=0),"Капитал инвестора",""),IF(OR(AE74="",AE74&lt;=0,AE74&gt;600),"Срок в месяцах",""),IF(OR(AF74="",AF74&lt;0,AF74&gt;100),"Приоритетная доходность",""),IF(OR(AG74="",AG74&lt;0,AG74&gt;100),"Доля платформы",""),IF(AND(Z74&lt;&gt;"",AA74&lt;&gt;"",AB74&lt;&gt;"",AD74&lt;&gt;"",OR((Z74+AA74+AB74)&lt;=0,AD74&gt;(Z74+AA74+AB74))),"Капитал инвестора больше бюджета",""))="","",TEXTJOIN(", ",TRUE,IF(B74="","Название",""),IF(C74="","Тип недвижимости",""),IF(D74="","Страна",""),IF(E74="","Город",""),IF(F74="","Улица",""),IF(I74="","Валюта",""),IF(OR(AL74="",AL74&lt;1),"Хотя бы 1 фото",""),IF(AND(OR(C74="Квартира",C74="Апартаменты",C74="Дом",C74="Вилла",C74="Коммерческая"),J74=""),"Площадь",""),IF(AND(OR(C74="Квартира",C74="Апартаменты"),K74=""),"Жилая площадь",""),IF(AND(OR(C74="Дом",C74="Вилла",C74="Земля"),L74=""),"Площадь участка",""),IF(AND(OR(C74="Квартира",C74="Апартаменты"),M74=""),"Комнаты",""),IF(AND(OR(C74="Дом",C74="Вилла"),N74=""),"Спальни",""),IF(AND(OR(C74="Квартира",C74="Апартаменты",C74="Дом",C74="Вилла"),O74=""),"Ванные",""),IF(AND(OR(C74="Квартира",C74="Апартаменты"),P74=""),"Этаж",""),IF(AND(OR(OR(C74="Квартира",C74="Апартаменты"),OR(C74="Дом",C74="Вилла")),Q74=""),"Этажей",""),IF(AND(OR(OR(C74="Квартира",C74="Апартаменты"),OR(C74="Дом",C74="Вилла")),OR(R74="",R74&gt;YEAR(TODAY()))),"Год постройки",""),IF(AND(P74&lt;&gt;"",Q74&lt;&gt;"",P74&gt;Q74),"Этаж больше этажности",""),IF(AND(OR(C74="Квартира",C74="Апартаменты",C74="Дом",C74="Вилла"),S74=""),"Материал",""),IF(AND(OR(C74="Коммерческая"),U74=""),"Тип коммерции",""),IF(AND(OR(C74="Земля"),V74=""),"Назначение земли",""),IF(OR(AQ74="",AQ74="Нет"),"Право собственности",""),IF(OR(AR74="",AR74="Нет"),"Справка об отсутствии обременений",""),IF(OR(X74="",X74&lt;=0),"Площадь участка проекта",""),IF(OR(Y74="",Y74&lt;=0),"Площадь строительства",""),IF(OR(Z74="",Z74&lt;0),"Стоимость участка",""),IF(OR(AA74="",AA74&lt;0),"Строительство",""),IF(OR(AB74="",AB74&lt;0),"Налоги и резерв",""),IF(OR(AC74="",AC74&lt;0),"Ожидаемая продажа",""),IF(OR(AD74="",AD74&lt;=0),"Капитал инвестора",""),IF(OR(AE74="",AE74&lt;=0,AE74&gt;600),"Срок в месяцах",""),IF(OR(AF74="",AF74&lt;0,AF74&gt;100),"Приоритетная доходность",""),IF(OR(AG74="",AG74&lt;0,AG74&gt;100),"Доля платформы",""),IF(AND(Z74&lt;&gt;"",AA74&lt;&gt;"",AB74&lt;&gt;"",AD74&lt;&gt;"",OR((Z74+AA74+AB74)&lt;=0,AD74&gt;(Z74+AA74+AB74))),"Капитал инвестора больше бюджета",""))))</f>
        <v/>
      </c>
      <c r="AU74" s="35">
        <f>IF(NOT(COUNTA(A74:AS74)&gt;0),"",IF(TEXTJOIN(", ",TRUE,IF(AO74="","Описание",""),IF(AND(AL74&lt;&gt;"",AL74&gt;=1,AL74&lt;5),"Фото меньше 5",""),IF(AN74="","Видео",""),IF(H74="","Кадастровый номер",""),IF(AM74="","Ссылка на фото",""),IF(W74="","Цель продавца",""),IF(AJ74="","Лицензия",""),IF(AK74="","Допущения и источники",""))="","",TEXTJOIN(", ",TRUE,IF(AO74="","Описание",""),IF(AND(AL74&lt;&gt;"",AL74&gt;=1,AL74&lt;5),"Фото меньше 5",""),IF(AN74="","Видео",""),IF(H74="","Кадастровый номер",""),IF(AM74="","Ссылка на фото",""),IF(W74="","Цель продавца",""),IF(AJ74="","Лицензия",""),IF(AK74="","Допущения и источники",""))))</f>
        <v/>
      </c>
      <c r="AV74" s="35">
        <f>IF(NOT(COUNTA(A74:AS74)&gt;0),"",IF(AT74="","Можно публиковать","Не хватает"))</f>
        <v/>
      </c>
    </row>
    <row r="75" ht="22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 t="n"/>
      <c r="K75" s="31" t="n"/>
      <c r="L75" s="31" t="n"/>
      <c r="M75" s="32" t="n"/>
      <c r="N75" s="32" t="n"/>
      <c r="O75" s="32" t="n"/>
      <c r="P75" s="32" t="n"/>
      <c r="Q75" s="32" t="n"/>
      <c r="R75" s="32" t="n"/>
      <c r="S75" s="30" t="n"/>
      <c r="T75" s="30" t="n"/>
      <c r="U75" s="30" t="n"/>
      <c r="V75" s="30" t="n"/>
      <c r="W75" s="30" t="n"/>
      <c r="X75" s="31" t="n"/>
      <c r="Y75" s="31" t="n"/>
      <c r="Z75" s="33" t="n"/>
      <c r="AA75" s="33" t="n"/>
      <c r="AB75" s="33" t="n"/>
      <c r="AC75" s="33" t="n"/>
      <c r="AD75" s="33" t="n"/>
      <c r="AE75" s="32" t="n"/>
      <c r="AF75" s="42" t="n"/>
      <c r="AG75" s="42" t="n"/>
      <c r="AH75" s="43">
        <f>IF(AND(Z75&lt;&gt;"",AA75&lt;&gt;"",AB75&lt;&gt;""),Z75+AA75+AB75,"")</f>
        <v/>
      </c>
      <c r="AI75" s="43">
        <f>IF(AND(AND(Z75&lt;&gt;"",AA75&lt;&gt;"",AB75&lt;&gt;""),AC75&lt;&gt;""),AC75-(Z75+AA75+AB75),"")</f>
        <v/>
      </c>
      <c r="AJ75" s="30" t="n"/>
      <c r="AK75" s="30" t="n"/>
      <c r="AL75" s="32" t="n"/>
      <c r="AM75" s="30" t="n"/>
      <c r="AN75" s="30" t="n"/>
      <c r="AO75" s="30" t="n"/>
      <c r="AP75" s="30" t="n"/>
      <c r="AQ75" s="30" t="n"/>
      <c r="AR75" s="30" t="n"/>
      <c r="AS75" s="30" t="n"/>
      <c r="AT75" s="35">
        <f>IF(NOT(COUNTA(A75:AS75)&gt;0),"",IF(TEXTJOIN(", ",TRUE,IF(B75="","Название",""),IF(C75="","Тип недвижимости",""),IF(D75="","Страна",""),IF(E75="","Город",""),IF(F75="","Улица",""),IF(I75="","Валюта",""),IF(OR(AL75="",AL75&lt;1),"Хотя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земли",""),IF(OR(AQ75="",AQ75="Нет"),"Право собственности",""),IF(OR(AR75="",AR75="Нет"),"Справка об отсутствии обременений",""),IF(OR(X75="",X75&lt;=0),"Площадь участка проекта",""),IF(OR(Y75="",Y75&lt;=0),"Площадь строительства",""),IF(OR(Z75="",Z75&lt;0),"Стоимость участка",""),IF(OR(AA75="",AA75&lt;0),"Строительство",""),IF(OR(AB75="",AB75&lt;0),"Налоги и резерв",""),IF(OR(AC75="",AC75&lt;0),"Ожидаемая продажа",""),IF(OR(AD75="",AD75&lt;=0),"Капитал инвестора",""),IF(OR(AE75="",AE75&lt;=0,AE75&gt;600),"Срок в месяцах",""),IF(OR(AF75="",AF75&lt;0,AF75&gt;100),"Приоритетная доходность",""),IF(OR(AG75="",AG75&lt;0,AG75&gt;100),"Доля платформы",""),IF(AND(Z75&lt;&gt;"",AA75&lt;&gt;"",AB75&lt;&gt;"",AD75&lt;&gt;"",OR((Z75+AA75+AB75)&lt;=0,AD75&gt;(Z75+AA75+AB75))),"Капитал инвестора больше бюджета",""))="","",TEXTJOIN(", ",TRUE,IF(B75="","Название",""),IF(C75="","Тип недвижимости",""),IF(D75="","Страна",""),IF(E75="","Город",""),IF(F75="","Улица",""),IF(I75="","Валюта",""),IF(OR(AL75="",AL75&lt;1),"Хотя бы 1 фото",""),IF(AND(OR(C75="Квартира",C75="Апартаменты",C75="Дом",C75="Вилла",C75="Коммерческая"),J75=""),"Площадь",""),IF(AND(OR(C75="Квартира",C75="Апартаменты"),K75=""),"Жилая площадь",""),IF(AND(OR(C75="Дом",C75="Вилла",C75="Земля"),L75=""),"Площадь участка",""),IF(AND(OR(C75="Квартира",C75="Апартаменты"),M75=""),"Комнаты",""),IF(AND(OR(C75="Дом",C75="Вилла"),N75=""),"Спальни",""),IF(AND(OR(C75="Квартира",C75="Апартаменты",C75="Дом",C75="Вилла"),O75=""),"Ванные",""),IF(AND(OR(C75="Квартира",C75="Апартаменты"),P75=""),"Этаж",""),IF(AND(OR(OR(C75="Квартира",C75="Апартаменты"),OR(C75="Дом",C75="Вилла")),Q75=""),"Этажей",""),IF(AND(OR(OR(C75="Квартира",C75="Апартаменты"),OR(C75="Дом",C75="Вилла")),OR(R75="",R75&gt;YEAR(TODAY()))),"Год постройки",""),IF(AND(P75&lt;&gt;"",Q75&lt;&gt;"",P75&gt;Q75),"Этаж больше этажности",""),IF(AND(OR(C75="Квартира",C75="Апартаменты",C75="Дом",C75="Вилла"),S75=""),"Материал",""),IF(AND(OR(C75="Коммерческая"),U75=""),"Тип коммерции",""),IF(AND(OR(C75="Земля"),V75=""),"Назначение земли",""),IF(OR(AQ75="",AQ75="Нет"),"Право собственности",""),IF(OR(AR75="",AR75="Нет"),"Справка об отсутствии обременений",""),IF(OR(X75="",X75&lt;=0),"Площадь участка проекта",""),IF(OR(Y75="",Y75&lt;=0),"Площадь строительства",""),IF(OR(Z75="",Z75&lt;0),"Стоимость участка",""),IF(OR(AA75="",AA75&lt;0),"Строительство",""),IF(OR(AB75="",AB75&lt;0),"Налоги и резерв",""),IF(OR(AC75="",AC75&lt;0),"Ожидаемая продажа",""),IF(OR(AD75="",AD75&lt;=0),"Капитал инвестора",""),IF(OR(AE75="",AE75&lt;=0,AE75&gt;600),"Срок в месяцах",""),IF(OR(AF75="",AF75&lt;0,AF75&gt;100),"Приоритетная доходность",""),IF(OR(AG75="",AG75&lt;0,AG75&gt;100),"Доля платформы",""),IF(AND(Z75&lt;&gt;"",AA75&lt;&gt;"",AB75&lt;&gt;"",AD75&lt;&gt;"",OR((Z75+AA75+AB75)&lt;=0,AD75&gt;(Z75+AA75+AB75))),"Капитал инвестора больше бюджета",""))))</f>
        <v/>
      </c>
      <c r="AU75" s="35">
        <f>IF(NOT(COUNTA(A75:AS75)&gt;0),"",IF(TEXTJOIN(", ",TRUE,IF(AO75="","Описание",""),IF(AND(AL75&lt;&gt;"",AL75&gt;=1,AL75&lt;5),"Фото меньше 5",""),IF(AN75="","Видео",""),IF(H75="","Кадастровый номер",""),IF(AM75="","Ссылка на фото",""),IF(W75="","Цель продавца",""),IF(AJ75="","Лицензия",""),IF(AK75="","Допущения и источники",""))="","",TEXTJOIN(", ",TRUE,IF(AO75="","Описание",""),IF(AND(AL75&lt;&gt;"",AL75&gt;=1,AL75&lt;5),"Фото меньше 5",""),IF(AN75="","Видео",""),IF(H75="","Кадастровый номер",""),IF(AM75="","Ссылка на фото",""),IF(W75="","Цель продавца",""),IF(AJ75="","Лицензия",""),IF(AK75="","Допущения и источники",""))))</f>
        <v/>
      </c>
      <c r="AV75" s="35">
        <f>IF(NOT(COUNTA(A75:AS75)&gt;0),"",IF(AT75="","Можно публиковать","Не хватает"))</f>
        <v/>
      </c>
    </row>
    <row r="76" ht="22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7" t="n"/>
      <c r="K76" s="37" t="n"/>
      <c r="L76" s="37" t="n"/>
      <c r="M76" s="38" t="n"/>
      <c r="N76" s="38" t="n"/>
      <c r="O76" s="38" t="n"/>
      <c r="P76" s="38" t="n"/>
      <c r="Q76" s="38" t="n"/>
      <c r="R76" s="38" t="n"/>
      <c r="S76" s="36" t="n"/>
      <c r="T76" s="36" t="n"/>
      <c r="U76" s="36" t="n"/>
      <c r="V76" s="36" t="n"/>
      <c r="W76" s="36" t="n"/>
      <c r="X76" s="37" t="n"/>
      <c r="Y76" s="37" t="n"/>
      <c r="Z76" s="39" t="n"/>
      <c r="AA76" s="39" t="n"/>
      <c r="AB76" s="39" t="n"/>
      <c r="AC76" s="39" t="n"/>
      <c r="AD76" s="39" t="n"/>
      <c r="AE76" s="38" t="n"/>
      <c r="AF76" s="44" t="n"/>
      <c r="AG76" s="44" t="n"/>
      <c r="AH76" s="43">
        <f>IF(AND(Z76&lt;&gt;"",AA76&lt;&gt;"",AB76&lt;&gt;""),Z76+AA76+AB76,"")</f>
        <v/>
      </c>
      <c r="AI76" s="43">
        <f>IF(AND(AND(Z76&lt;&gt;"",AA76&lt;&gt;"",AB76&lt;&gt;""),AC76&lt;&gt;""),AC76-(Z76+AA76+AB76),"")</f>
        <v/>
      </c>
      <c r="AJ76" s="36" t="n"/>
      <c r="AK76" s="36" t="n"/>
      <c r="AL76" s="38" t="n"/>
      <c r="AM76" s="36" t="n"/>
      <c r="AN76" s="36" t="n"/>
      <c r="AO76" s="36" t="n"/>
      <c r="AP76" s="36" t="n"/>
      <c r="AQ76" s="36" t="n"/>
      <c r="AR76" s="36" t="n"/>
      <c r="AS76" s="36" t="n"/>
      <c r="AT76" s="35">
        <f>IF(NOT(COUNTA(A76:AS76)&gt;0),"",IF(TEXTJOIN(", ",TRUE,IF(B76="","Название",""),IF(C76="","Тип недвижимости",""),IF(D76="","Страна",""),IF(E76="","Город",""),IF(F76="","Улица",""),IF(I76="","Валюта",""),IF(OR(AL76="",AL76&lt;1),"Хотя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земли",""),IF(OR(AQ76="",AQ76="Нет"),"Право собственности",""),IF(OR(AR76="",AR76="Нет"),"Справка об отсутствии обременений",""),IF(OR(X76="",X76&lt;=0),"Площадь участка проекта",""),IF(OR(Y76="",Y76&lt;=0),"Площадь строительства",""),IF(OR(Z76="",Z76&lt;0),"Стоимость участка",""),IF(OR(AA76="",AA76&lt;0),"Строительство",""),IF(OR(AB76="",AB76&lt;0),"Налоги и резерв",""),IF(OR(AC76="",AC76&lt;0),"Ожидаемая продажа",""),IF(OR(AD76="",AD76&lt;=0),"Капитал инвестора",""),IF(OR(AE76="",AE76&lt;=0,AE76&gt;600),"Срок в месяцах",""),IF(OR(AF76="",AF76&lt;0,AF76&gt;100),"Приоритетная доходность",""),IF(OR(AG76="",AG76&lt;0,AG76&gt;100),"Доля платформы",""),IF(AND(Z76&lt;&gt;"",AA76&lt;&gt;"",AB76&lt;&gt;"",AD76&lt;&gt;"",OR((Z76+AA76+AB76)&lt;=0,AD76&gt;(Z76+AA76+AB76))),"Капитал инвестора больше бюджета",""))="","",TEXTJOIN(", ",TRUE,IF(B76="","Название",""),IF(C76="","Тип недвижимости",""),IF(D76="","Страна",""),IF(E76="","Город",""),IF(F76="","Улица",""),IF(I76="","Валюта",""),IF(OR(AL76="",AL76&lt;1),"Хотя бы 1 фото",""),IF(AND(OR(C76="Квартира",C76="Апартаменты",C76="Дом",C76="Вилла",C76="Коммерческая"),J76=""),"Площадь",""),IF(AND(OR(C76="Квартира",C76="Апартаменты"),K76=""),"Жилая площадь",""),IF(AND(OR(C76="Дом",C76="Вилла",C76="Земля"),L76=""),"Площадь участка",""),IF(AND(OR(C76="Квартира",C76="Апартаменты"),M76=""),"Комнаты",""),IF(AND(OR(C76="Дом",C76="Вилла"),N76=""),"Спальни",""),IF(AND(OR(C76="Квартира",C76="Апартаменты",C76="Дом",C76="Вилла"),O76=""),"Ванные",""),IF(AND(OR(C76="Квартира",C76="Апартаменты"),P76=""),"Этаж",""),IF(AND(OR(OR(C76="Квартира",C76="Апартаменты"),OR(C76="Дом",C76="Вилла")),Q76=""),"Этажей",""),IF(AND(OR(OR(C76="Квартира",C76="Апартаменты"),OR(C76="Дом",C76="Вилла")),OR(R76="",R76&gt;YEAR(TODAY()))),"Год постройки",""),IF(AND(P76&lt;&gt;"",Q76&lt;&gt;"",P76&gt;Q76),"Этаж больше этажности",""),IF(AND(OR(C76="Квартира",C76="Апартаменты",C76="Дом",C76="Вилла"),S76=""),"Материал",""),IF(AND(OR(C76="Коммерческая"),U76=""),"Тип коммерции",""),IF(AND(OR(C76="Земля"),V76=""),"Назначение земли",""),IF(OR(AQ76="",AQ76="Нет"),"Право собственности",""),IF(OR(AR76="",AR76="Нет"),"Справка об отсутствии обременений",""),IF(OR(X76="",X76&lt;=0),"Площадь участка проекта",""),IF(OR(Y76="",Y76&lt;=0),"Площадь строительства",""),IF(OR(Z76="",Z76&lt;0),"Стоимость участка",""),IF(OR(AA76="",AA76&lt;0),"Строительство",""),IF(OR(AB76="",AB76&lt;0),"Налоги и резерв",""),IF(OR(AC76="",AC76&lt;0),"Ожидаемая продажа",""),IF(OR(AD76="",AD76&lt;=0),"Капитал инвестора",""),IF(OR(AE76="",AE76&lt;=0,AE76&gt;600),"Срок в месяцах",""),IF(OR(AF76="",AF76&lt;0,AF76&gt;100),"Приоритетная доходность",""),IF(OR(AG76="",AG76&lt;0,AG76&gt;100),"Доля платформы",""),IF(AND(Z76&lt;&gt;"",AA76&lt;&gt;"",AB76&lt;&gt;"",AD76&lt;&gt;"",OR((Z76+AA76+AB76)&lt;=0,AD76&gt;(Z76+AA76+AB76))),"Капитал инвестора больше бюджета",""))))</f>
        <v/>
      </c>
      <c r="AU76" s="35">
        <f>IF(NOT(COUNTA(A76:AS76)&gt;0),"",IF(TEXTJOIN(", ",TRUE,IF(AO76="","Описание",""),IF(AND(AL76&lt;&gt;"",AL76&gt;=1,AL76&lt;5),"Фото меньше 5",""),IF(AN76="","Видео",""),IF(H76="","Кадастровый номер",""),IF(AM76="","Ссылка на фото",""),IF(W76="","Цель продавца",""),IF(AJ76="","Лицензия",""),IF(AK76="","Допущения и источники",""))="","",TEXTJOIN(", ",TRUE,IF(AO76="","Описание",""),IF(AND(AL76&lt;&gt;"",AL76&gt;=1,AL76&lt;5),"Фото меньше 5",""),IF(AN76="","Видео",""),IF(H76="","Кадастровый номер",""),IF(AM76="","Ссылка на фото",""),IF(W76="","Цель продавца",""),IF(AJ76="","Лицензия",""),IF(AK76="","Допущения и источники",""))))</f>
        <v/>
      </c>
      <c r="AV76" s="35">
        <f>IF(NOT(COUNTA(A76:AS76)&gt;0),"",IF(AT76="","Можно публиковать","Не хватает"))</f>
        <v/>
      </c>
    </row>
    <row r="77" ht="22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 t="n"/>
      <c r="K77" s="31" t="n"/>
      <c r="L77" s="31" t="n"/>
      <c r="M77" s="32" t="n"/>
      <c r="N77" s="32" t="n"/>
      <c r="O77" s="32" t="n"/>
      <c r="P77" s="32" t="n"/>
      <c r="Q77" s="32" t="n"/>
      <c r="R77" s="32" t="n"/>
      <c r="S77" s="30" t="n"/>
      <c r="T77" s="30" t="n"/>
      <c r="U77" s="30" t="n"/>
      <c r="V77" s="30" t="n"/>
      <c r="W77" s="30" t="n"/>
      <c r="X77" s="31" t="n"/>
      <c r="Y77" s="31" t="n"/>
      <c r="Z77" s="33" t="n"/>
      <c r="AA77" s="33" t="n"/>
      <c r="AB77" s="33" t="n"/>
      <c r="AC77" s="33" t="n"/>
      <c r="AD77" s="33" t="n"/>
      <c r="AE77" s="32" t="n"/>
      <c r="AF77" s="42" t="n"/>
      <c r="AG77" s="42" t="n"/>
      <c r="AH77" s="43">
        <f>IF(AND(Z77&lt;&gt;"",AA77&lt;&gt;"",AB77&lt;&gt;""),Z77+AA77+AB77,"")</f>
        <v/>
      </c>
      <c r="AI77" s="43">
        <f>IF(AND(AND(Z77&lt;&gt;"",AA77&lt;&gt;"",AB77&lt;&gt;""),AC77&lt;&gt;""),AC77-(Z77+AA77+AB77),"")</f>
        <v/>
      </c>
      <c r="AJ77" s="30" t="n"/>
      <c r="AK77" s="30" t="n"/>
      <c r="AL77" s="32" t="n"/>
      <c r="AM77" s="30" t="n"/>
      <c r="AN77" s="30" t="n"/>
      <c r="AO77" s="30" t="n"/>
      <c r="AP77" s="30" t="n"/>
      <c r="AQ77" s="30" t="n"/>
      <c r="AR77" s="30" t="n"/>
      <c r="AS77" s="30" t="n"/>
      <c r="AT77" s="35">
        <f>IF(NOT(COUNTA(A77:AS77)&gt;0),"",IF(TEXTJOIN(", ",TRUE,IF(B77="","Название",""),IF(C77="","Тип недвижимости",""),IF(D77="","Страна",""),IF(E77="","Город",""),IF(F77="","Улица",""),IF(I77="","Валюта",""),IF(OR(AL77="",AL77&lt;1),"Хотя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земли",""),IF(OR(AQ77="",AQ77="Нет"),"Право собственности",""),IF(OR(AR77="",AR77="Нет"),"Справка об отсутствии обременений",""),IF(OR(X77="",X77&lt;=0),"Площадь участка проекта",""),IF(OR(Y77="",Y77&lt;=0),"Площадь строительства",""),IF(OR(Z77="",Z77&lt;0),"Стоимость участка",""),IF(OR(AA77="",AA77&lt;0),"Строительство",""),IF(OR(AB77="",AB77&lt;0),"Налоги и резерв",""),IF(OR(AC77="",AC77&lt;0),"Ожидаемая продажа",""),IF(OR(AD77="",AD77&lt;=0),"Капитал инвестора",""),IF(OR(AE77="",AE77&lt;=0,AE77&gt;600),"Срок в месяцах",""),IF(OR(AF77="",AF77&lt;0,AF77&gt;100),"Приоритетная доходность",""),IF(OR(AG77="",AG77&lt;0,AG77&gt;100),"Доля платформы",""),IF(AND(Z77&lt;&gt;"",AA77&lt;&gt;"",AB77&lt;&gt;"",AD77&lt;&gt;"",OR((Z77+AA77+AB77)&lt;=0,AD77&gt;(Z77+AA77+AB77))),"Капитал инвестора больше бюджета",""))="","",TEXTJOIN(", ",TRUE,IF(B77="","Название",""),IF(C77="","Тип недвижимости",""),IF(D77="","Страна",""),IF(E77="","Город",""),IF(F77="","Улица",""),IF(I77="","Валюта",""),IF(OR(AL77="",AL77&lt;1),"Хотя бы 1 фото",""),IF(AND(OR(C77="Квартира",C77="Апартаменты",C77="Дом",C77="Вилла",C77="Коммерческая"),J77=""),"Площадь",""),IF(AND(OR(C77="Квартира",C77="Апартаменты"),K77=""),"Жилая площадь",""),IF(AND(OR(C77="Дом",C77="Вилла",C77="Земля"),L77=""),"Площадь участка",""),IF(AND(OR(C77="Квартира",C77="Апартаменты"),M77=""),"Комнаты",""),IF(AND(OR(C77="Дом",C77="Вилла"),N77=""),"Спальни",""),IF(AND(OR(C77="Квартира",C77="Апартаменты",C77="Дом",C77="Вилла"),O77=""),"Ванные",""),IF(AND(OR(C77="Квартира",C77="Апартаменты"),P77=""),"Этаж",""),IF(AND(OR(OR(C77="Квартира",C77="Апартаменты"),OR(C77="Дом",C77="Вилла")),Q77=""),"Этажей",""),IF(AND(OR(OR(C77="Квартира",C77="Апартаменты"),OR(C77="Дом",C77="Вилла")),OR(R77="",R77&gt;YEAR(TODAY()))),"Год постройки",""),IF(AND(P77&lt;&gt;"",Q77&lt;&gt;"",P77&gt;Q77),"Этаж больше этажности",""),IF(AND(OR(C77="Квартира",C77="Апартаменты",C77="Дом",C77="Вилла"),S77=""),"Материал",""),IF(AND(OR(C77="Коммерческая"),U77=""),"Тип коммерции",""),IF(AND(OR(C77="Земля"),V77=""),"Назначение земли",""),IF(OR(AQ77="",AQ77="Нет"),"Право собственности",""),IF(OR(AR77="",AR77="Нет"),"Справка об отсутствии обременений",""),IF(OR(X77="",X77&lt;=0),"Площадь участка проекта",""),IF(OR(Y77="",Y77&lt;=0),"Площадь строительства",""),IF(OR(Z77="",Z77&lt;0),"Стоимость участка",""),IF(OR(AA77="",AA77&lt;0),"Строительство",""),IF(OR(AB77="",AB77&lt;0),"Налоги и резерв",""),IF(OR(AC77="",AC77&lt;0),"Ожидаемая продажа",""),IF(OR(AD77="",AD77&lt;=0),"Капитал инвестора",""),IF(OR(AE77="",AE77&lt;=0,AE77&gt;600),"Срок в месяцах",""),IF(OR(AF77="",AF77&lt;0,AF77&gt;100),"Приоритетная доходность",""),IF(OR(AG77="",AG77&lt;0,AG77&gt;100),"Доля платформы",""),IF(AND(Z77&lt;&gt;"",AA77&lt;&gt;"",AB77&lt;&gt;"",AD77&lt;&gt;"",OR((Z77+AA77+AB77)&lt;=0,AD77&gt;(Z77+AA77+AB77))),"Капитал инвестора больше бюджета",""))))</f>
        <v/>
      </c>
      <c r="AU77" s="35">
        <f>IF(NOT(COUNTA(A77:AS77)&gt;0),"",IF(TEXTJOIN(", ",TRUE,IF(AO77="","Описание",""),IF(AND(AL77&lt;&gt;"",AL77&gt;=1,AL77&lt;5),"Фото меньше 5",""),IF(AN77="","Видео",""),IF(H77="","Кадастровый номер",""),IF(AM77="","Ссылка на фото",""),IF(W77="","Цель продавца",""),IF(AJ77="","Лицензия",""),IF(AK77="","Допущения и источники",""))="","",TEXTJOIN(", ",TRUE,IF(AO77="","Описание",""),IF(AND(AL77&lt;&gt;"",AL77&gt;=1,AL77&lt;5),"Фото меньше 5",""),IF(AN77="","Видео",""),IF(H77="","Кадастровый номер",""),IF(AM77="","Ссылка на фото",""),IF(W77="","Цель продавца",""),IF(AJ77="","Лицензия",""),IF(AK77="","Допущения и источники",""))))</f>
        <v/>
      </c>
      <c r="AV77" s="35">
        <f>IF(NOT(COUNTA(A77:AS77)&gt;0),"",IF(AT77="","Можно публиковать","Не хватает"))</f>
        <v/>
      </c>
    </row>
    <row r="78" ht="22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7" t="n"/>
      <c r="K78" s="37" t="n"/>
      <c r="L78" s="37" t="n"/>
      <c r="M78" s="38" t="n"/>
      <c r="N78" s="38" t="n"/>
      <c r="O78" s="38" t="n"/>
      <c r="P78" s="38" t="n"/>
      <c r="Q78" s="38" t="n"/>
      <c r="R78" s="38" t="n"/>
      <c r="S78" s="36" t="n"/>
      <c r="T78" s="36" t="n"/>
      <c r="U78" s="36" t="n"/>
      <c r="V78" s="36" t="n"/>
      <c r="W78" s="36" t="n"/>
      <c r="X78" s="37" t="n"/>
      <c r="Y78" s="37" t="n"/>
      <c r="Z78" s="39" t="n"/>
      <c r="AA78" s="39" t="n"/>
      <c r="AB78" s="39" t="n"/>
      <c r="AC78" s="39" t="n"/>
      <c r="AD78" s="39" t="n"/>
      <c r="AE78" s="38" t="n"/>
      <c r="AF78" s="44" t="n"/>
      <c r="AG78" s="44" t="n"/>
      <c r="AH78" s="43">
        <f>IF(AND(Z78&lt;&gt;"",AA78&lt;&gt;"",AB78&lt;&gt;""),Z78+AA78+AB78,"")</f>
        <v/>
      </c>
      <c r="AI78" s="43">
        <f>IF(AND(AND(Z78&lt;&gt;"",AA78&lt;&gt;"",AB78&lt;&gt;""),AC78&lt;&gt;""),AC78-(Z78+AA78+AB78),"")</f>
        <v/>
      </c>
      <c r="AJ78" s="36" t="n"/>
      <c r="AK78" s="36" t="n"/>
      <c r="AL78" s="38" t="n"/>
      <c r="AM78" s="36" t="n"/>
      <c r="AN78" s="36" t="n"/>
      <c r="AO78" s="36" t="n"/>
      <c r="AP78" s="36" t="n"/>
      <c r="AQ78" s="36" t="n"/>
      <c r="AR78" s="36" t="n"/>
      <c r="AS78" s="36" t="n"/>
      <c r="AT78" s="35">
        <f>IF(NOT(COUNTA(A78:AS78)&gt;0),"",IF(TEXTJOIN(", ",TRUE,IF(B78="","Название",""),IF(C78="","Тип недвижимости",""),IF(D78="","Страна",""),IF(E78="","Город",""),IF(F78="","Улица",""),IF(I78="","Валюта",""),IF(OR(AL78="",AL78&lt;1),"Хотя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земли",""),IF(OR(AQ78="",AQ78="Нет"),"Право собственности",""),IF(OR(AR78="",AR78="Нет"),"Справка об отсутствии обременений",""),IF(OR(X78="",X78&lt;=0),"Площадь участка проекта",""),IF(OR(Y78="",Y78&lt;=0),"Площадь строительства",""),IF(OR(Z78="",Z78&lt;0),"Стоимость участка",""),IF(OR(AA78="",AA78&lt;0),"Строительство",""),IF(OR(AB78="",AB78&lt;0),"Налоги и резерв",""),IF(OR(AC78="",AC78&lt;0),"Ожидаемая продажа",""),IF(OR(AD78="",AD78&lt;=0),"Капитал инвестора",""),IF(OR(AE78="",AE78&lt;=0,AE78&gt;600),"Срок в месяцах",""),IF(OR(AF78="",AF78&lt;0,AF78&gt;100),"Приоритетная доходность",""),IF(OR(AG78="",AG78&lt;0,AG78&gt;100),"Доля платформы",""),IF(AND(Z78&lt;&gt;"",AA78&lt;&gt;"",AB78&lt;&gt;"",AD78&lt;&gt;"",OR((Z78+AA78+AB78)&lt;=0,AD78&gt;(Z78+AA78+AB78))),"Капитал инвестора больше бюджета",""))="","",TEXTJOIN(", ",TRUE,IF(B78="","Название",""),IF(C78="","Тип недвижимости",""),IF(D78="","Страна",""),IF(E78="","Город",""),IF(F78="","Улица",""),IF(I78="","Валюта",""),IF(OR(AL78="",AL78&lt;1),"Хотя бы 1 фото",""),IF(AND(OR(C78="Квартира",C78="Апартаменты",C78="Дом",C78="Вилла",C78="Коммерческая"),J78=""),"Площадь",""),IF(AND(OR(C78="Квартира",C78="Апартаменты"),K78=""),"Жилая площадь",""),IF(AND(OR(C78="Дом",C78="Вилла",C78="Земля"),L78=""),"Площадь участка",""),IF(AND(OR(C78="Квартира",C78="Апартаменты"),M78=""),"Комнаты",""),IF(AND(OR(C78="Дом",C78="Вилла"),N78=""),"Спальни",""),IF(AND(OR(C78="Квартира",C78="Апартаменты",C78="Дом",C78="Вилла"),O78=""),"Ванные",""),IF(AND(OR(C78="Квартира",C78="Апартаменты"),P78=""),"Этаж",""),IF(AND(OR(OR(C78="Квартира",C78="Апартаменты"),OR(C78="Дом",C78="Вилла")),Q78=""),"Этажей",""),IF(AND(OR(OR(C78="Квартира",C78="Апартаменты"),OR(C78="Дом",C78="Вилла")),OR(R78="",R78&gt;YEAR(TODAY()))),"Год постройки",""),IF(AND(P78&lt;&gt;"",Q78&lt;&gt;"",P78&gt;Q78),"Этаж больше этажности",""),IF(AND(OR(C78="Квартира",C78="Апартаменты",C78="Дом",C78="Вилла"),S78=""),"Материал",""),IF(AND(OR(C78="Коммерческая"),U78=""),"Тип коммерции",""),IF(AND(OR(C78="Земля"),V78=""),"Назначение земли",""),IF(OR(AQ78="",AQ78="Нет"),"Право собственности",""),IF(OR(AR78="",AR78="Нет"),"Справка об отсутствии обременений",""),IF(OR(X78="",X78&lt;=0),"Площадь участка проекта",""),IF(OR(Y78="",Y78&lt;=0),"Площадь строительства",""),IF(OR(Z78="",Z78&lt;0),"Стоимость участка",""),IF(OR(AA78="",AA78&lt;0),"Строительство",""),IF(OR(AB78="",AB78&lt;0),"Налоги и резерв",""),IF(OR(AC78="",AC78&lt;0),"Ожидаемая продажа",""),IF(OR(AD78="",AD78&lt;=0),"Капитал инвестора",""),IF(OR(AE78="",AE78&lt;=0,AE78&gt;600),"Срок в месяцах",""),IF(OR(AF78="",AF78&lt;0,AF78&gt;100),"Приоритетная доходность",""),IF(OR(AG78="",AG78&lt;0,AG78&gt;100),"Доля платформы",""),IF(AND(Z78&lt;&gt;"",AA78&lt;&gt;"",AB78&lt;&gt;"",AD78&lt;&gt;"",OR((Z78+AA78+AB78)&lt;=0,AD78&gt;(Z78+AA78+AB78))),"Капитал инвестора больше бюджета",""))))</f>
        <v/>
      </c>
      <c r="AU78" s="35">
        <f>IF(NOT(COUNTA(A78:AS78)&gt;0),"",IF(TEXTJOIN(", ",TRUE,IF(AO78="","Описание",""),IF(AND(AL78&lt;&gt;"",AL78&gt;=1,AL78&lt;5),"Фото меньше 5",""),IF(AN78="","Видео",""),IF(H78="","Кадастровый номер",""),IF(AM78="","Ссылка на фото",""),IF(W78="","Цель продавца",""),IF(AJ78="","Лицензия",""),IF(AK78="","Допущения и источники",""))="","",TEXTJOIN(", ",TRUE,IF(AO78="","Описание",""),IF(AND(AL78&lt;&gt;"",AL78&gt;=1,AL78&lt;5),"Фото меньше 5",""),IF(AN78="","Видео",""),IF(H78="","Кадастровый номер",""),IF(AM78="","Ссылка на фото",""),IF(W78="","Цель продавца",""),IF(AJ78="","Лицензия",""),IF(AK78="","Допущения и источники",""))))</f>
        <v/>
      </c>
      <c r="AV78" s="35">
        <f>IF(NOT(COUNTA(A78:AS78)&gt;0),"",IF(AT78="","Можно публиковать","Не хватает"))</f>
        <v/>
      </c>
    </row>
    <row r="79" ht="22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31" t="n"/>
      <c r="L79" s="31" t="n"/>
      <c r="M79" s="32" t="n"/>
      <c r="N79" s="32" t="n"/>
      <c r="O79" s="32" t="n"/>
      <c r="P79" s="32" t="n"/>
      <c r="Q79" s="32" t="n"/>
      <c r="R79" s="32" t="n"/>
      <c r="S79" s="30" t="n"/>
      <c r="T79" s="30" t="n"/>
      <c r="U79" s="30" t="n"/>
      <c r="V79" s="30" t="n"/>
      <c r="W79" s="30" t="n"/>
      <c r="X79" s="31" t="n"/>
      <c r="Y79" s="31" t="n"/>
      <c r="Z79" s="33" t="n"/>
      <c r="AA79" s="33" t="n"/>
      <c r="AB79" s="33" t="n"/>
      <c r="AC79" s="33" t="n"/>
      <c r="AD79" s="33" t="n"/>
      <c r="AE79" s="32" t="n"/>
      <c r="AF79" s="42" t="n"/>
      <c r="AG79" s="42" t="n"/>
      <c r="AH79" s="43">
        <f>IF(AND(Z79&lt;&gt;"",AA79&lt;&gt;"",AB79&lt;&gt;""),Z79+AA79+AB79,"")</f>
        <v/>
      </c>
      <c r="AI79" s="43">
        <f>IF(AND(AND(Z79&lt;&gt;"",AA79&lt;&gt;"",AB79&lt;&gt;""),AC79&lt;&gt;""),AC79-(Z79+AA79+AB79),"")</f>
        <v/>
      </c>
      <c r="AJ79" s="30" t="n"/>
      <c r="AK79" s="30" t="n"/>
      <c r="AL79" s="32" t="n"/>
      <c r="AM79" s="30" t="n"/>
      <c r="AN79" s="30" t="n"/>
      <c r="AO79" s="30" t="n"/>
      <c r="AP79" s="30" t="n"/>
      <c r="AQ79" s="30" t="n"/>
      <c r="AR79" s="30" t="n"/>
      <c r="AS79" s="30" t="n"/>
      <c r="AT79" s="35">
        <f>IF(NOT(COUNTA(A79:AS79)&gt;0),"",IF(TEXTJOIN(", ",TRUE,IF(B79="","Название",""),IF(C79="","Тип недвижимости",""),IF(D79="","Страна",""),IF(E79="","Город",""),IF(F79="","Улица",""),IF(I79="","Валюта",""),IF(OR(AL79="",AL79&lt;1),"Хотя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земли",""),IF(OR(AQ79="",AQ79="Нет"),"Право собственности",""),IF(OR(AR79="",AR79="Нет"),"Справка об отсутствии обременений",""),IF(OR(X79="",X79&lt;=0),"Площадь участка проекта",""),IF(OR(Y79="",Y79&lt;=0),"Площадь строительства",""),IF(OR(Z79="",Z79&lt;0),"Стоимость участка",""),IF(OR(AA79="",AA79&lt;0),"Строительство",""),IF(OR(AB79="",AB79&lt;0),"Налоги и резерв",""),IF(OR(AC79="",AC79&lt;0),"Ожидаемая продажа",""),IF(OR(AD79="",AD79&lt;=0),"Капитал инвестора",""),IF(OR(AE79="",AE79&lt;=0,AE79&gt;600),"Срок в месяцах",""),IF(OR(AF79="",AF79&lt;0,AF79&gt;100),"Приоритетная доходность",""),IF(OR(AG79="",AG79&lt;0,AG79&gt;100),"Доля платформы",""),IF(AND(Z79&lt;&gt;"",AA79&lt;&gt;"",AB79&lt;&gt;"",AD79&lt;&gt;"",OR((Z79+AA79+AB79)&lt;=0,AD79&gt;(Z79+AA79+AB79))),"Капитал инвестора больше бюджета",""))="","",TEXTJOIN(", ",TRUE,IF(B79="","Название",""),IF(C79="","Тип недвижимости",""),IF(D79="","Страна",""),IF(E79="","Город",""),IF(F79="","Улица",""),IF(I79="","Валюта",""),IF(OR(AL79="",AL79&lt;1),"Хотя бы 1 фото",""),IF(AND(OR(C79="Квартира",C79="Апартаменты",C79="Дом",C79="Вилла",C79="Коммерческая"),J79=""),"Площадь",""),IF(AND(OR(C79="Квартира",C79="Апартаменты"),K79=""),"Жилая площадь",""),IF(AND(OR(C79="Дом",C79="Вилла",C79="Земля"),L79=""),"Площадь участка",""),IF(AND(OR(C79="Квартира",C79="Апартаменты"),M79=""),"Комнаты",""),IF(AND(OR(C79="Дом",C79="Вилла"),N79=""),"Спальни",""),IF(AND(OR(C79="Квартира",C79="Апартаменты",C79="Дом",C79="Вилла"),O79=""),"Ванные",""),IF(AND(OR(C79="Квартира",C79="Апартаменты"),P79=""),"Этаж",""),IF(AND(OR(OR(C79="Квартира",C79="Апартаменты"),OR(C79="Дом",C79="Вилла")),Q79=""),"Этажей",""),IF(AND(OR(OR(C79="Квартира",C79="Апартаменты"),OR(C79="Дом",C79="Вилла")),OR(R79="",R79&gt;YEAR(TODAY()))),"Год постройки",""),IF(AND(P79&lt;&gt;"",Q79&lt;&gt;"",P79&gt;Q79),"Этаж больше этажности",""),IF(AND(OR(C79="Квартира",C79="Апартаменты",C79="Дом",C79="Вилла"),S79=""),"Материал",""),IF(AND(OR(C79="Коммерческая"),U79=""),"Тип коммерции",""),IF(AND(OR(C79="Земля"),V79=""),"Назначение земли",""),IF(OR(AQ79="",AQ79="Нет"),"Право собственности",""),IF(OR(AR79="",AR79="Нет"),"Справка об отсутствии обременений",""),IF(OR(X79="",X79&lt;=0),"Площадь участка проекта",""),IF(OR(Y79="",Y79&lt;=0),"Площадь строительства",""),IF(OR(Z79="",Z79&lt;0),"Стоимость участка",""),IF(OR(AA79="",AA79&lt;0),"Строительство",""),IF(OR(AB79="",AB79&lt;0),"Налоги и резерв",""),IF(OR(AC79="",AC79&lt;0),"Ожидаемая продажа",""),IF(OR(AD79="",AD79&lt;=0),"Капитал инвестора",""),IF(OR(AE79="",AE79&lt;=0,AE79&gt;600),"Срок в месяцах",""),IF(OR(AF79="",AF79&lt;0,AF79&gt;100),"Приоритетная доходность",""),IF(OR(AG79="",AG79&lt;0,AG79&gt;100),"Доля платформы",""),IF(AND(Z79&lt;&gt;"",AA79&lt;&gt;"",AB79&lt;&gt;"",AD79&lt;&gt;"",OR((Z79+AA79+AB79)&lt;=0,AD79&gt;(Z79+AA79+AB79))),"Капитал инвестора больше бюджета",""))))</f>
        <v/>
      </c>
      <c r="AU79" s="35">
        <f>IF(NOT(COUNTA(A79:AS79)&gt;0),"",IF(TEXTJOIN(", ",TRUE,IF(AO79="","Описание",""),IF(AND(AL79&lt;&gt;"",AL79&gt;=1,AL79&lt;5),"Фото меньше 5",""),IF(AN79="","Видео",""),IF(H79="","Кадастровый номер",""),IF(AM79="","Ссылка на фото",""),IF(W79="","Цель продавца",""),IF(AJ79="","Лицензия",""),IF(AK79="","Допущения и источники",""))="","",TEXTJOIN(", ",TRUE,IF(AO79="","Описание",""),IF(AND(AL79&lt;&gt;"",AL79&gt;=1,AL79&lt;5),"Фото меньше 5",""),IF(AN79="","Видео",""),IF(H79="","Кадастровый номер",""),IF(AM79="","Ссылка на фото",""),IF(W79="","Цель продавца",""),IF(AJ79="","Лицензия",""),IF(AK79="","Допущения и источники",""))))</f>
        <v/>
      </c>
      <c r="AV79" s="35">
        <f>IF(NOT(COUNTA(A79:AS79)&gt;0),"",IF(AT79="","Можно публиковать","Не хватает"))</f>
        <v/>
      </c>
    </row>
    <row r="80" ht="22" customHeight="1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7" t="n"/>
      <c r="K80" s="37" t="n"/>
      <c r="L80" s="37" t="n"/>
      <c r="M80" s="38" t="n"/>
      <c r="N80" s="38" t="n"/>
      <c r="O80" s="38" t="n"/>
      <c r="P80" s="38" t="n"/>
      <c r="Q80" s="38" t="n"/>
      <c r="R80" s="38" t="n"/>
      <c r="S80" s="36" t="n"/>
      <c r="T80" s="36" t="n"/>
      <c r="U80" s="36" t="n"/>
      <c r="V80" s="36" t="n"/>
      <c r="W80" s="36" t="n"/>
      <c r="X80" s="37" t="n"/>
      <c r="Y80" s="37" t="n"/>
      <c r="Z80" s="39" t="n"/>
      <c r="AA80" s="39" t="n"/>
      <c r="AB80" s="39" t="n"/>
      <c r="AC80" s="39" t="n"/>
      <c r="AD80" s="39" t="n"/>
      <c r="AE80" s="38" t="n"/>
      <c r="AF80" s="44" t="n"/>
      <c r="AG80" s="44" t="n"/>
      <c r="AH80" s="43">
        <f>IF(AND(Z80&lt;&gt;"",AA80&lt;&gt;"",AB80&lt;&gt;""),Z80+AA80+AB80,"")</f>
        <v/>
      </c>
      <c r="AI80" s="43">
        <f>IF(AND(AND(Z80&lt;&gt;"",AA80&lt;&gt;"",AB80&lt;&gt;""),AC80&lt;&gt;""),AC80-(Z80+AA80+AB80),"")</f>
        <v/>
      </c>
      <c r="AJ80" s="36" t="n"/>
      <c r="AK80" s="36" t="n"/>
      <c r="AL80" s="38" t="n"/>
      <c r="AM80" s="36" t="n"/>
      <c r="AN80" s="36" t="n"/>
      <c r="AO80" s="36" t="n"/>
      <c r="AP80" s="36" t="n"/>
      <c r="AQ80" s="36" t="n"/>
      <c r="AR80" s="36" t="n"/>
      <c r="AS80" s="36" t="n"/>
      <c r="AT80" s="35">
        <f>IF(NOT(COUNTA(A80:AS80)&gt;0),"",IF(TEXTJOIN(", ",TRUE,IF(B80="","Название",""),IF(C80="","Тип недвижимости",""),IF(D80="","Страна",""),IF(E80="","Город",""),IF(F80="","Улица",""),IF(I80="","Валюта",""),IF(OR(AL80="",AL80&lt;1),"Хотя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земли",""),IF(OR(AQ80="",AQ80="Нет"),"Право собственности",""),IF(OR(AR80="",AR80="Нет"),"Справка об отсутствии обременений",""),IF(OR(X80="",X80&lt;=0),"Площадь участка проекта",""),IF(OR(Y80="",Y80&lt;=0),"Площадь строительства",""),IF(OR(Z80="",Z80&lt;0),"Стоимость участка",""),IF(OR(AA80="",AA80&lt;0),"Строительство",""),IF(OR(AB80="",AB80&lt;0),"Налоги и резерв",""),IF(OR(AC80="",AC80&lt;0),"Ожидаемая продажа",""),IF(OR(AD80="",AD80&lt;=0),"Капитал инвестора",""),IF(OR(AE80="",AE80&lt;=0,AE80&gt;600),"Срок в месяцах",""),IF(OR(AF80="",AF80&lt;0,AF80&gt;100),"Приоритетная доходность",""),IF(OR(AG80="",AG80&lt;0,AG80&gt;100),"Доля платформы",""),IF(AND(Z80&lt;&gt;"",AA80&lt;&gt;"",AB80&lt;&gt;"",AD80&lt;&gt;"",OR((Z80+AA80+AB80)&lt;=0,AD80&gt;(Z80+AA80+AB80))),"Капитал инвестора больше бюджета",""))="","",TEXTJOIN(", ",TRUE,IF(B80="","Название",""),IF(C80="","Тип недвижимости",""),IF(D80="","Страна",""),IF(E80="","Город",""),IF(F80="","Улица",""),IF(I80="","Валюта",""),IF(OR(AL80="",AL80&lt;1),"Хотя бы 1 фото",""),IF(AND(OR(C80="Квартира",C80="Апартаменты",C80="Дом",C80="Вилла",C80="Коммерческая"),J80=""),"Площадь",""),IF(AND(OR(C80="Квартира",C80="Апартаменты"),K80=""),"Жилая площадь",""),IF(AND(OR(C80="Дом",C80="Вилла",C80="Земля"),L80=""),"Площадь участка",""),IF(AND(OR(C80="Квартира",C80="Апартаменты"),M80=""),"Комнаты",""),IF(AND(OR(C80="Дом",C80="Вилла"),N80=""),"Спальни",""),IF(AND(OR(C80="Квартира",C80="Апартаменты",C80="Дом",C80="Вилла"),O80=""),"Ванные",""),IF(AND(OR(C80="Квартира",C80="Апартаменты"),P80=""),"Этаж",""),IF(AND(OR(OR(C80="Квартира",C80="Апартаменты"),OR(C80="Дом",C80="Вилла")),Q80=""),"Этажей",""),IF(AND(OR(OR(C80="Квартира",C80="Апартаменты"),OR(C80="Дом",C80="Вилла")),OR(R80="",R80&gt;YEAR(TODAY()))),"Год постройки",""),IF(AND(P80&lt;&gt;"",Q80&lt;&gt;"",P80&gt;Q80),"Этаж больше этажности",""),IF(AND(OR(C80="Квартира",C80="Апартаменты",C80="Дом",C80="Вилла"),S80=""),"Материал",""),IF(AND(OR(C80="Коммерческая"),U80=""),"Тип коммерции",""),IF(AND(OR(C80="Земля"),V80=""),"Назначение земли",""),IF(OR(AQ80="",AQ80="Нет"),"Право собственности",""),IF(OR(AR80="",AR80="Нет"),"Справка об отсутствии обременений",""),IF(OR(X80="",X80&lt;=0),"Площадь участка проекта",""),IF(OR(Y80="",Y80&lt;=0),"Площадь строительства",""),IF(OR(Z80="",Z80&lt;0),"Стоимость участка",""),IF(OR(AA80="",AA80&lt;0),"Строительство",""),IF(OR(AB80="",AB80&lt;0),"Налоги и резерв",""),IF(OR(AC80="",AC80&lt;0),"Ожидаемая продажа",""),IF(OR(AD80="",AD80&lt;=0),"Капитал инвестора",""),IF(OR(AE80="",AE80&lt;=0,AE80&gt;600),"Срок в месяцах",""),IF(OR(AF80="",AF80&lt;0,AF80&gt;100),"Приоритетная доходность",""),IF(OR(AG80="",AG80&lt;0,AG80&gt;100),"Доля платформы",""),IF(AND(Z80&lt;&gt;"",AA80&lt;&gt;"",AB80&lt;&gt;"",AD80&lt;&gt;"",OR((Z80+AA80+AB80)&lt;=0,AD80&gt;(Z80+AA80+AB80))),"Капитал инвестора больше бюджета",""))))</f>
        <v/>
      </c>
      <c r="AU80" s="35">
        <f>IF(NOT(COUNTA(A80:AS80)&gt;0),"",IF(TEXTJOIN(", ",TRUE,IF(AO80="","Описание",""),IF(AND(AL80&lt;&gt;"",AL80&gt;=1,AL80&lt;5),"Фото меньше 5",""),IF(AN80="","Видео",""),IF(H80="","Кадастровый номер",""),IF(AM80="","Ссылка на фото",""),IF(W80="","Цель продавца",""),IF(AJ80="","Лицензия",""),IF(AK80="","Допущения и источники",""))="","",TEXTJOIN(", ",TRUE,IF(AO80="","Описание",""),IF(AND(AL80&lt;&gt;"",AL80&gt;=1,AL80&lt;5),"Фото меньше 5",""),IF(AN80="","Видео",""),IF(H80="","Кадастровый номер",""),IF(AM80="","Ссылка на фото",""),IF(W80="","Цель продавца",""),IF(AJ80="","Лицензия",""),IF(AK80="","Допущения и источники",""))))</f>
        <v/>
      </c>
      <c r="AV80" s="35">
        <f>IF(NOT(COUNTA(A80:AS80)&gt;0),"",IF(AT80="","Можно публиковать","Не хватает"))</f>
        <v/>
      </c>
    </row>
    <row r="81" ht="22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 t="n"/>
      <c r="K81" s="31" t="n"/>
      <c r="L81" s="31" t="n"/>
      <c r="M81" s="32" t="n"/>
      <c r="N81" s="32" t="n"/>
      <c r="O81" s="32" t="n"/>
      <c r="P81" s="32" t="n"/>
      <c r="Q81" s="32" t="n"/>
      <c r="R81" s="32" t="n"/>
      <c r="S81" s="30" t="n"/>
      <c r="T81" s="30" t="n"/>
      <c r="U81" s="30" t="n"/>
      <c r="V81" s="30" t="n"/>
      <c r="W81" s="30" t="n"/>
      <c r="X81" s="31" t="n"/>
      <c r="Y81" s="31" t="n"/>
      <c r="Z81" s="33" t="n"/>
      <c r="AA81" s="33" t="n"/>
      <c r="AB81" s="33" t="n"/>
      <c r="AC81" s="33" t="n"/>
      <c r="AD81" s="33" t="n"/>
      <c r="AE81" s="32" t="n"/>
      <c r="AF81" s="42" t="n"/>
      <c r="AG81" s="42" t="n"/>
      <c r="AH81" s="43">
        <f>IF(AND(Z81&lt;&gt;"",AA81&lt;&gt;"",AB81&lt;&gt;""),Z81+AA81+AB81,"")</f>
        <v/>
      </c>
      <c r="AI81" s="43">
        <f>IF(AND(AND(Z81&lt;&gt;"",AA81&lt;&gt;"",AB81&lt;&gt;""),AC81&lt;&gt;""),AC81-(Z81+AA81+AB81),"")</f>
        <v/>
      </c>
      <c r="AJ81" s="30" t="n"/>
      <c r="AK81" s="30" t="n"/>
      <c r="AL81" s="32" t="n"/>
      <c r="AM81" s="30" t="n"/>
      <c r="AN81" s="30" t="n"/>
      <c r="AO81" s="30" t="n"/>
      <c r="AP81" s="30" t="n"/>
      <c r="AQ81" s="30" t="n"/>
      <c r="AR81" s="30" t="n"/>
      <c r="AS81" s="30" t="n"/>
      <c r="AT81" s="35">
        <f>IF(NOT(COUNTA(A81:AS81)&gt;0),"",IF(TEXTJOIN(", ",TRUE,IF(B81="","Название",""),IF(C81="","Тип недвижимости",""),IF(D81="","Страна",""),IF(E81="","Город",""),IF(F81="","Улица",""),IF(I81="","Валюта",""),IF(OR(AL81="",AL81&lt;1),"Хотя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земли",""),IF(OR(AQ81="",AQ81="Нет"),"Право собственности",""),IF(OR(AR81="",AR81="Нет"),"Справка об отсутствии обременений",""),IF(OR(X81="",X81&lt;=0),"Площадь участка проекта",""),IF(OR(Y81="",Y81&lt;=0),"Площадь строительства",""),IF(OR(Z81="",Z81&lt;0),"Стоимость участка",""),IF(OR(AA81="",AA81&lt;0),"Строительство",""),IF(OR(AB81="",AB81&lt;0),"Налоги и резерв",""),IF(OR(AC81="",AC81&lt;0),"Ожидаемая продажа",""),IF(OR(AD81="",AD81&lt;=0),"Капитал инвестора",""),IF(OR(AE81="",AE81&lt;=0,AE81&gt;600),"Срок в месяцах",""),IF(OR(AF81="",AF81&lt;0,AF81&gt;100),"Приоритетная доходность",""),IF(OR(AG81="",AG81&lt;0,AG81&gt;100),"Доля платформы",""),IF(AND(Z81&lt;&gt;"",AA81&lt;&gt;"",AB81&lt;&gt;"",AD81&lt;&gt;"",OR((Z81+AA81+AB81)&lt;=0,AD81&gt;(Z81+AA81+AB81))),"Капитал инвестора больше бюджета",""))="","",TEXTJOIN(", ",TRUE,IF(B81="","Название",""),IF(C81="","Тип недвижимости",""),IF(D81="","Страна",""),IF(E81="","Город",""),IF(F81="","Улица",""),IF(I81="","Валюта",""),IF(OR(AL81="",AL81&lt;1),"Хотя бы 1 фото",""),IF(AND(OR(C81="Квартира",C81="Апартаменты",C81="Дом",C81="Вилла",C81="Коммерческая"),J81=""),"Площадь",""),IF(AND(OR(C81="Квартира",C81="Апартаменты"),K81=""),"Жилая площадь",""),IF(AND(OR(C81="Дом",C81="Вилла",C81="Земля"),L81=""),"Площадь участка",""),IF(AND(OR(C81="Квартира",C81="Апартаменты"),M81=""),"Комнаты",""),IF(AND(OR(C81="Дом",C81="Вилла"),N81=""),"Спальни",""),IF(AND(OR(C81="Квартира",C81="Апартаменты",C81="Дом",C81="Вилла"),O81=""),"Ванные",""),IF(AND(OR(C81="Квартира",C81="Апартаменты"),P81=""),"Этаж",""),IF(AND(OR(OR(C81="Квартира",C81="Апартаменты"),OR(C81="Дом",C81="Вилла")),Q81=""),"Этажей",""),IF(AND(OR(OR(C81="Квартира",C81="Апартаменты"),OR(C81="Дом",C81="Вилла")),OR(R81="",R81&gt;YEAR(TODAY()))),"Год постройки",""),IF(AND(P81&lt;&gt;"",Q81&lt;&gt;"",P81&gt;Q81),"Этаж больше этажности",""),IF(AND(OR(C81="Квартира",C81="Апартаменты",C81="Дом",C81="Вилла"),S81=""),"Материал",""),IF(AND(OR(C81="Коммерческая"),U81=""),"Тип коммерции",""),IF(AND(OR(C81="Земля"),V81=""),"Назначение земли",""),IF(OR(AQ81="",AQ81="Нет"),"Право собственности",""),IF(OR(AR81="",AR81="Нет"),"Справка об отсутствии обременений",""),IF(OR(X81="",X81&lt;=0),"Площадь участка проекта",""),IF(OR(Y81="",Y81&lt;=0),"Площадь строительства",""),IF(OR(Z81="",Z81&lt;0),"Стоимость участка",""),IF(OR(AA81="",AA81&lt;0),"Строительство",""),IF(OR(AB81="",AB81&lt;0),"Налоги и резерв",""),IF(OR(AC81="",AC81&lt;0),"Ожидаемая продажа",""),IF(OR(AD81="",AD81&lt;=0),"Капитал инвестора",""),IF(OR(AE81="",AE81&lt;=0,AE81&gt;600),"Срок в месяцах",""),IF(OR(AF81="",AF81&lt;0,AF81&gt;100),"Приоритетная доходность",""),IF(OR(AG81="",AG81&lt;0,AG81&gt;100),"Доля платформы",""),IF(AND(Z81&lt;&gt;"",AA81&lt;&gt;"",AB81&lt;&gt;"",AD81&lt;&gt;"",OR((Z81+AA81+AB81)&lt;=0,AD81&gt;(Z81+AA81+AB81))),"Капитал инвестора больше бюджета",""))))</f>
        <v/>
      </c>
      <c r="AU81" s="35">
        <f>IF(NOT(COUNTA(A81:AS81)&gt;0),"",IF(TEXTJOIN(", ",TRUE,IF(AO81="","Описание",""),IF(AND(AL81&lt;&gt;"",AL81&gt;=1,AL81&lt;5),"Фото меньше 5",""),IF(AN81="","Видео",""),IF(H81="","Кадастровый номер",""),IF(AM81="","Ссылка на фото",""),IF(W81="","Цель продавца",""),IF(AJ81="","Лицензия",""),IF(AK81="","Допущения и источники",""))="","",TEXTJOIN(", ",TRUE,IF(AO81="","Описание",""),IF(AND(AL81&lt;&gt;"",AL81&gt;=1,AL81&lt;5),"Фото меньше 5",""),IF(AN81="","Видео",""),IF(H81="","Кадастровый номер",""),IF(AM81="","Ссылка на фото",""),IF(W81="","Цель продавца",""),IF(AJ81="","Лицензия",""),IF(AK81="","Допущения и источники",""))))</f>
        <v/>
      </c>
      <c r="AV81" s="35">
        <f>IF(NOT(COUNTA(A81:AS81)&gt;0),"",IF(AT81="","Можно публиковать","Не хватает"))</f>
        <v/>
      </c>
    </row>
    <row r="82" ht="22" customHeight="1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7" t="n"/>
      <c r="K82" s="37" t="n"/>
      <c r="L82" s="37" t="n"/>
      <c r="M82" s="38" t="n"/>
      <c r="N82" s="38" t="n"/>
      <c r="O82" s="38" t="n"/>
      <c r="P82" s="38" t="n"/>
      <c r="Q82" s="38" t="n"/>
      <c r="R82" s="38" t="n"/>
      <c r="S82" s="36" t="n"/>
      <c r="T82" s="36" t="n"/>
      <c r="U82" s="36" t="n"/>
      <c r="V82" s="36" t="n"/>
      <c r="W82" s="36" t="n"/>
      <c r="X82" s="37" t="n"/>
      <c r="Y82" s="37" t="n"/>
      <c r="Z82" s="39" t="n"/>
      <c r="AA82" s="39" t="n"/>
      <c r="AB82" s="39" t="n"/>
      <c r="AC82" s="39" t="n"/>
      <c r="AD82" s="39" t="n"/>
      <c r="AE82" s="38" t="n"/>
      <c r="AF82" s="44" t="n"/>
      <c r="AG82" s="44" t="n"/>
      <c r="AH82" s="43">
        <f>IF(AND(Z82&lt;&gt;"",AA82&lt;&gt;"",AB82&lt;&gt;""),Z82+AA82+AB82,"")</f>
        <v/>
      </c>
      <c r="AI82" s="43">
        <f>IF(AND(AND(Z82&lt;&gt;"",AA82&lt;&gt;"",AB82&lt;&gt;""),AC82&lt;&gt;""),AC82-(Z82+AA82+AB82),"")</f>
        <v/>
      </c>
      <c r="AJ82" s="36" t="n"/>
      <c r="AK82" s="36" t="n"/>
      <c r="AL82" s="38" t="n"/>
      <c r="AM82" s="36" t="n"/>
      <c r="AN82" s="36" t="n"/>
      <c r="AO82" s="36" t="n"/>
      <c r="AP82" s="36" t="n"/>
      <c r="AQ82" s="36" t="n"/>
      <c r="AR82" s="36" t="n"/>
      <c r="AS82" s="36" t="n"/>
      <c r="AT82" s="35">
        <f>IF(NOT(COUNTA(A82:AS82)&gt;0),"",IF(TEXTJOIN(", ",TRUE,IF(B82="","Название",""),IF(C82="","Тип недвижимости",""),IF(D82="","Страна",""),IF(E82="","Город",""),IF(F82="","Улица",""),IF(I82="","Валюта",""),IF(OR(AL82="",AL82&lt;1),"Хотя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земли",""),IF(OR(AQ82="",AQ82="Нет"),"Право собственности",""),IF(OR(AR82="",AR82="Нет"),"Справка об отсутствии обременений",""),IF(OR(X82="",X82&lt;=0),"Площадь участка проекта",""),IF(OR(Y82="",Y82&lt;=0),"Площадь строительства",""),IF(OR(Z82="",Z82&lt;0),"Стоимость участка",""),IF(OR(AA82="",AA82&lt;0),"Строительство",""),IF(OR(AB82="",AB82&lt;0),"Налоги и резерв",""),IF(OR(AC82="",AC82&lt;0),"Ожидаемая продажа",""),IF(OR(AD82="",AD82&lt;=0),"Капитал инвестора",""),IF(OR(AE82="",AE82&lt;=0,AE82&gt;600),"Срок в месяцах",""),IF(OR(AF82="",AF82&lt;0,AF82&gt;100),"Приоритетная доходность",""),IF(OR(AG82="",AG82&lt;0,AG82&gt;100),"Доля платформы",""),IF(AND(Z82&lt;&gt;"",AA82&lt;&gt;"",AB82&lt;&gt;"",AD82&lt;&gt;"",OR((Z82+AA82+AB82)&lt;=0,AD82&gt;(Z82+AA82+AB82))),"Капитал инвестора больше бюджета",""))="","",TEXTJOIN(", ",TRUE,IF(B82="","Название",""),IF(C82="","Тип недвижимости",""),IF(D82="","Страна",""),IF(E82="","Город",""),IF(F82="","Улица",""),IF(I82="","Валюта",""),IF(OR(AL82="",AL82&lt;1),"Хотя бы 1 фото",""),IF(AND(OR(C82="Квартира",C82="Апартаменты",C82="Дом",C82="Вилла",C82="Коммерческая"),J82=""),"Площадь",""),IF(AND(OR(C82="Квартира",C82="Апартаменты"),K82=""),"Жилая площадь",""),IF(AND(OR(C82="Дом",C82="Вилла",C82="Земля"),L82=""),"Площадь участка",""),IF(AND(OR(C82="Квартира",C82="Апартаменты"),M82=""),"Комнаты",""),IF(AND(OR(C82="Дом",C82="Вилла"),N82=""),"Спальни",""),IF(AND(OR(C82="Квартира",C82="Апартаменты",C82="Дом",C82="Вилла"),O82=""),"Ванные",""),IF(AND(OR(C82="Квартира",C82="Апартаменты"),P82=""),"Этаж",""),IF(AND(OR(OR(C82="Квартира",C82="Апартаменты"),OR(C82="Дом",C82="Вилла")),Q82=""),"Этажей",""),IF(AND(OR(OR(C82="Квартира",C82="Апартаменты"),OR(C82="Дом",C82="Вилла")),OR(R82="",R82&gt;YEAR(TODAY()))),"Год постройки",""),IF(AND(P82&lt;&gt;"",Q82&lt;&gt;"",P82&gt;Q82),"Этаж больше этажности",""),IF(AND(OR(C82="Квартира",C82="Апартаменты",C82="Дом",C82="Вилла"),S82=""),"Материал",""),IF(AND(OR(C82="Коммерческая"),U82=""),"Тип коммерции",""),IF(AND(OR(C82="Земля"),V82=""),"Назначение земли",""),IF(OR(AQ82="",AQ82="Нет"),"Право собственности",""),IF(OR(AR82="",AR82="Нет"),"Справка об отсутствии обременений",""),IF(OR(X82="",X82&lt;=0),"Площадь участка проекта",""),IF(OR(Y82="",Y82&lt;=0),"Площадь строительства",""),IF(OR(Z82="",Z82&lt;0),"Стоимость участка",""),IF(OR(AA82="",AA82&lt;0),"Строительство",""),IF(OR(AB82="",AB82&lt;0),"Налоги и резерв",""),IF(OR(AC82="",AC82&lt;0),"Ожидаемая продажа",""),IF(OR(AD82="",AD82&lt;=0),"Капитал инвестора",""),IF(OR(AE82="",AE82&lt;=0,AE82&gt;600),"Срок в месяцах",""),IF(OR(AF82="",AF82&lt;0,AF82&gt;100),"Приоритетная доходность",""),IF(OR(AG82="",AG82&lt;0,AG82&gt;100),"Доля платформы",""),IF(AND(Z82&lt;&gt;"",AA82&lt;&gt;"",AB82&lt;&gt;"",AD82&lt;&gt;"",OR((Z82+AA82+AB82)&lt;=0,AD82&gt;(Z82+AA82+AB82))),"Капитал инвестора больше бюджета",""))))</f>
        <v/>
      </c>
      <c r="AU82" s="35">
        <f>IF(NOT(COUNTA(A82:AS82)&gt;0),"",IF(TEXTJOIN(", ",TRUE,IF(AO82="","Описание",""),IF(AND(AL82&lt;&gt;"",AL82&gt;=1,AL82&lt;5),"Фото меньше 5",""),IF(AN82="","Видео",""),IF(H82="","Кадастровый номер",""),IF(AM82="","Ссылка на фото",""),IF(W82="","Цель продавца",""),IF(AJ82="","Лицензия",""),IF(AK82="","Допущения и источники",""))="","",TEXTJOIN(", ",TRUE,IF(AO82="","Описание",""),IF(AND(AL82&lt;&gt;"",AL82&gt;=1,AL82&lt;5),"Фото меньше 5",""),IF(AN82="","Видео",""),IF(H82="","Кадастровый номер",""),IF(AM82="","Ссылка на фото",""),IF(W82="","Цель продавца",""),IF(AJ82="","Лицензия",""),IF(AK82="","Допущения и источники",""))))</f>
        <v/>
      </c>
      <c r="AV82" s="35">
        <f>IF(NOT(COUNTA(A82:AS82)&gt;0),"",IF(AT82="","Можно публиковать","Не хватает"))</f>
        <v/>
      </c>
    </row>
  </sheetData>
  <autoFilter ref="A2:AV82"/>
  <mergeCells count="9">
    <mergeCell ref="J1:V1"/>
    <mergeCell ref="D1:H1"/>
    <mergeCell ref="AH1:AI1"/>
    <mergeCell ref="AJ1:AK1"/>
    <mergeCell ref="AQ1:AS1"/>
    <mergeCell ref="AT1:AV1"/>
    <mergeCell ref="AL1:AP1"/>
    <mergeCell ref="X1:AG1"/>
    <mergeCell ref="B1:C1"/>
  </mergeCells>
  <conditionalFormatting sqref="AV3:AV82">
    <cfRule type="expression" priority="1" dxfId="0">
      <formula>AV3="Можно публиковать"</formula>
    </cfRule>
    <cfRule type="expression" priority="2" dxfId="1">
      <formula>AV3="Не хватает"</formula>
    </cfRule>
  </conditionalFormatting>
  <conditionalFormatting sqref="AT3:AT82">
    <cfRule type="expression" priority="3" dxfId="2">
      <formula>AT3&lt;&gt;""</formula>
    </cfRule>
  </conditionalFormatting>
  <dataValidations count="9">
    <dataValidation sqref="C3:C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=Types</formula1>
    </dataValidation>
    <dataValidation sqref="I3:I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=Currencies</formula1>
    </dataValidation>
    <dataValidation sqref="S3:S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=Materials</formula1>
    </dataValidation>
    <dataValidation sqref="T3:T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=Construction</formula1>
    </dataValidation>
    <dataValidation sqref="U3:U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=Commercial</formula1>
    </dataValidation>
    <dataValidation sqref="V3:V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=Purpose</formula1>
    </dataValidation>
    <dataValidation sqref="W3:W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=Goals</formula1>
    </dataValidation>
    <dataValidation sqref="AQ3:AQ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  <dataValidation sqref="AR3:AR82" showDropDown="0" showInputMessage="0" showErrorMessage="1" allowBlank="1" errorTitle="Неверное значение" error="Выберите значение из списка" promptTitle="Список" prompt="Выберите из списка" type="list">
      <formula1>=YesNo</formula1>
    </dataValidation>
  </dataValidations>
  <pageMargins left="0.75" right="0.75" top="1" bottom="1" header="0.5" footer="0.5"/>
  <pageSetup orientation="landscape" paperSize="8" fitToHeight="0" fitToWidth="1"/>
  <headerFooter>
    <oddHeader>&amp;LДевелопмент</oddHeader>
    <oddFooter>&amp;RПустая ячейка в «Не хватает для публикации» значит, что объект можно публиковать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Types</t>
        </is>
      </c>
      <c r="B1" t="inlineStr">
        <is>
          <t>Currencies</t>
        </is>
      </c>
      <c r="C1" t="inlineStr">
        <is>
          <t>Materials</t>
        </is>
      </c>
      <c r="D1" t="inlineStr">
        <is>
          <t>Construction</t>
        </is>
      </c>
      <c r="E1" t="inlineStr">
        <is>
          <t>Commercial</t>
        </is>
      </c>
      <c r="F1" t="inlineStr">
        <is>
          <t>Purpose</t>
        </is>
      </c>
      <c r="G1" t="inlineStr">
        <is>
          <t>YesNo</t>
        </is>
      </c>
      <c r="H1" t="inlineStr">
        <is>
          <t>DebtFormats</t>
        </is>
      </c>
      <c r="I1" t="inlineStr">
        <is>
          <t>Goals</t>
        </is>
      </c>
    </row>
    <row r="2">
      <c r="A2" t="inlineStr">
        <is>
          <t>Квартира</t>
        </is>
      </c>
      <c r="B2" t="inlineStr">
        <is>
          <t>EUR</t>
        </is>
      </c>
      <c r="C2" t="inlineStr">
        <is>
          <t>Кирпич</t>
        </is>
      </c>
      <c r="D2" t="inlineStr">
        <is>
          <t>Монолитный</t>
        </is>
      </c>
      <c r="E2" t="inlineStr">
        <is>
          <t>Офис</t>
        </is>
      </c>
      <c r="F2" t="inlineStr">
        <is>
          <t>Под жилую застройку</t>
        </is>
      </c>
      <c r="G2" t="inlineStr">
        <is>
          <t>Да</t>
        </is>
      </c>
      <c r="H2" t="inlineStr">
        <is>
          <t>Долги</t>
        </is>
      </c>
      <c r="I2" t="inlineStr">
        <is>
          <t>Максимальная цена</t>
        </is>
      </c>
    </row>
    <row r="3">
      <c r="A3" t="inlineStr">
        <is>
          <t>Апартаменты</t>
        </is>
      </c>
      <c r="B3" t="inlineStr">
        <is>
          <t>USD</t>
        </is>
      </c>
      <c r="C3" t="inlineStr">
        <is>
          <t>Монолит</t>
        </is>
      </c>
      <c r="D3" t="inlineStr">
        <is>
          <t>Кирпичный</t>
        </is>
      </c>
      <c r="E3" t="inlineStr">
        <is>
          <t>Магазин</t>
        </is>
      </c>
      <c r="F3" t="inlineStr">
        <is>
          <t>Под бизнес / коммерцию</t>
        </is>
      </c>
      <c r="G3" t="inlineStr">
        <is>
          <t>Нет</t>
        </is>
      </c>
      <c r="H3" t="inlineStr">
        <is>
          <t>Долги + Аукцион</t>
        </is>
      </c>
      <c r="I3" t="inlineStr">
        <is>
          <t>Быстрая продажа</t>
        </is>
      </c>
    </row>
    <row r="4">
      <c r="A4" t="inlineStr">
        <is>
          <t>Дом</t>
        </is>
      </c>
      <c r="B4" t="inlineStr">
        <is>
          <t>GBP</t>
        </is>
      </c>
      <c r="C4" t="inlineStr">
        <is>
          <t>Панель</t>
        </is>
      </c>
      <c r="D4" t="inlineStr">
        <is>
          <t>Панельный</t>
        </is>
      </c>
      <c r="E4" t="inlineStr">
        <is>
          <t>Склад</t>
        </is>
      </c>
      <c r="F4" t="inlineStr">
        <is>
          <t>Сельхоз назначение</t>
        </is>
      </c>
      <c r="I4" t="inlineStr">
        <is>
          <t>Гарантированная продажа</t>
        </is>
      </c>
    </row>
    <row r="5">
      <c r="A5" t="inlineStr">
        <is>
          <t>Вилла</t>
        </is>
      </c>
      <c r="B5" t="inlineStr">
        <is>
          <t>AED</t>
        </is>
      </c>
      <c r="C5" t="inlineStr">
        <is>
          <t>Блок</t>
        </is>
      </c>
      <c r="D5" t="inlineStr">
        <is>
          <t>Каркасный</t>
        </is>
      </c>
      <c r="E5" t="inlineStr">
        <is>
          <t>Другое</t>
        </is>
      </c>
      <c r="F5" t="inlineStr">
        <is>
          <t>Промышленное</t>
        </is>
      </c>
      <c r="I5" t="inlineStr">
        <is>
          <t>Иностранные инвесторы</t>
        </is>
      </c>
    </row>
    <row r="6">
      <c r="A6" t="inlineStr">
        <is>
          <t>Коммерческая</t>
        </is>
      </c>
      <c r="B6" t="inlineStr">
        <is>
          <t>RUB</t>
        </is>
      </c>
      <c r="C6" t="inlineStr">
        <is>
          <t>Дерево</t>
        </is>
      </c>
      <c r="F6" t="inlineStr">
        <is>
          <t>Другое</t>
        </is>
      </c>
      <c r="I6" t="inlineStr">
        <is>
          <t>Партнёр по развитию</t>
        </is>
      </c>
    </row>
    <row r="7">
      <c r="A7" t="inlineStr">
        <is>
          <t>Земля</t>
        </is>
      </c>
      <c r="B7" t="inlineStr">
        <is>
          <t>BYN</t>
        </is>
      </c>
      <c r="C7" t="inlineStr">
        <is>
          <t>Каркас</t>
        </is>
      </c>
      <c r="I7" t="inlineStr">
        <is>
          <t>Аукцион</t>
        </is>
      </c>
    </row>
    <row r="8">
      <c r="C8" t="inlineStr">
        <is>
          <t>Газобетон</t>
        </is>
      </c>
      <c r="I8" t="inlineStr">
        <is>
          <t>Конфиденциальная продажа</t>
        </is>
      </c>
    </row>
    <row r="9">
      <c r="C9" t="inlineStr">
        <is>
          <t>Пенобетон</t>
        </is>
      </c>
    </row>
    <row r="10">
      <c r="C10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2026-10-21T12:47:25Z</dcterms:created>
  <dcterms:modified xmlns:dcterms="http://purl.org/dc/terms/" xmlns:xsi="http://www.w3.org/2001/XMLSchema-instance" xsi:type="dcterms:W3CDTF">2026-10-21T12:47:27Z</dcterms:modified>
</cp:coreProperties>
</file>